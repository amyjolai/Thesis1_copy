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C:\Users\Amy\Dropbox\All UCL Related\Year 2 Work\Analysis Sheets\"/>
    </mc:Choice>
  </mc:AlternateContent>
  <bookViews>
    <workbookView xWindow="0" yWindow="0" windowWidth="25200" windowHeight="11850"/>
  </bookViews>
  <sheets>
    <sheet name="Sheet1" sheetId="1" r:id="rId1"/>
    <sheet name="Sheet3" sheetId="3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9" i="1"/>
  <c r="G20" i="1"/>
  <c r="G21" i="1"/>
  <c r="G7" i="1"/>
  <c r="F57" i="1"/>
  <c r="G63" i="1"/>
  <c r="F63" i="1"/>
  <c r="F60" i="1"/>
  <c r="F61" i="1"/>
  <c r="F59" i="1"/>
  <c r="G59" i="1"/>
  <c r="G57" i="1"/>
  <c r="G47" i="1"/>
  <c r="F47" i="1"/>
  <c r="G43" i="1"/>
  <c r="F43" i="1"/>
  <c r="G41" i="1"/>
  <c r="F41" i="1"/>
  <c r="G56" i="1"/>
  <c r="G58" i="1"/>
  <c r="G60" i="1"/>
  <c r="G61" i="1"/>
  <c r="G62" i="1"/>
  <c r="G64" i="1"/>
  <c r="F64" i="1"/>
  <c r="F62" i="1"/>
  <c r="F58" i="1"/>
  <c r="F56" i="1"/>
  <c r="G42" i="1"/>
  <c r="G39" i="1"/>
  <c r="G40" i="1"/>
  <c r="G44" i="1"/>
  <c r="G45" i="1"/>
  <c r="G46" i="1"/>
  <c r="F46" i="1"/>
  <c r="F45" i="1"/>
  <c r="F44" i="1"/>
  <c r="F42" i="1"/>
  <c r="F40" i="1"/>
  <c r="F39" i="1"/>
  <c r="D29" i="1"/>
  <c r="D30" i="1"/>
  <c r="D31" i="1"/>
  <c r="D32" i="1"/>
  <c r="D28" i="1"/>
  <c r="D27" i="1"/>
  <c r="I26" i="1"/>
  <c r="G26" i="1"/>
  <c r="E26" i="1"/>
  <c r="D26" i="1"/>
  <c r="I7" i="1" l="1"/>
  <c r="I49" i="1"/>
  <c r="J49" i="1"/>
  <c r="L49" i="1" s="1"/>
  <c r="I45" i="1"/>
  <c r="J52" i="1"/>
  <c r="J53" i="1"/>
  <c r="I51" i="1"/>
  <c r="I54" i="1"/>
  <c r="I44" i="1"/>
  <c r="I50" i="1"/>
  <c r="J51" i="1"/>
  <c r="L51" i="1" s="1"/>
  <c r="I53" i="1"/>
  <c r="J54" i="1"/>
  <c r="J50" i="1"/>
  <c r="L50" i="1" s="1"/>
  <c r="I42" i="1"/>
  <c r="I52" i="1"/>
  <c r="I40" i="1"/>
  <c r="J44" i="1"/>
  <c r="J42" i="1"/>
  <c r="I46" i="1"/>
  <c r="J45" i="1"/>
  <c r="J39" i="1"/>
  <c r="I39" i="1"/>
  <c r="J46" i="1"/>
  <c r="J40" i="1"/>
  <c r="L52" i="1" l="1"/>
  <c r="L45" i="1"/>
  <c r="L42" i="1"/>
  <c r="L53" i="1"/>
  <c r="L54" i="1"/>
  <c r="L44" i="1"/>
  <c r="L46" i="1"/>
  <c r="L39" i="1"/>
  <c r="L40" i="1"/>
</calcChain>
</file>

<file path=xl/sharedStrings.xml><?xml version="1.0" encoding="utf-8"?>
<sst xmlns="http://schemas.openxmlformats.org/spreadsheetml/2006/main" count="107" uniqueCount="78">
  <si>
    <t>NC</t>
  </si>
  <si>
    <t>S</t>
  </si>
  <si>
    <t>H</t>
  </si>
  <si>
    <t>Species</t>
  </si>
  <si>
    <t>2-6_2</t>
  </si>
  <si>
    <t>NC0_2-hi.out</t>
  </si>
  <si>
    <t>NC0_0-hi.out</t>
  </si>
  <si>
    <t>NC2_0-hi.out</t>
  </si>
  <si>
    <t>NC2_2-hi.out</t>
  </si>
  <si>
    <t>NC2-6_2-hi.out</t>
  </si>
  <si>
    <t>NC2_2-6-hi.out</t>
  </si>
  <si>
    <t>NC2-6_2-6-hi.out</t>
  </si>
  <si>
    <t>NC3_2-6-hi.out</t>
  </si>
  <si>
    <t>NC2-6_3-hi.out</t>
  </si>
  <si>
    <t>NC3_3-hi.out</t>
  </si>
  <si>
    <t>H3O-hi.out</t>
  </si>
  <si>
    <t>Total</t>
  </si>
  <si>
    <t>Cal/Mol-Kelvin</t>
  </si>
  <si>
    <t xml:space="preserve"> Sum of electronic and thermal Enthalpies</t>
  </si>
  <si>
    <t>Hartree</t>
  </si>
  <si>
    <t>(Output header)</t>
  </si>
  <si>
    <t>Temperature   298.150 Kelvin.  Pressure   1.00000 Atm.</t>
  </si>
  <si>
    <t>no2_pos_ion.out</t>
  </si>
  <si>
    <t>H20.out</t>
  </si>
  <si>
    <t>Reacts</t>
  </si>
  <si>
    <r>
      <t>NC + 6NO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+ 6H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</si>
  <si>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Prods</t>
  </si>
  <si>
    <t>ΔG = ΔH - TΔS</t>
  </si>
  <si>
    <t>ΔS</t>
  </si>
  <si>
    <t>ΔH</t>
  </si>
  <si>
    <r>
      <t>NC-(ONO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+ 5NO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 + 5H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+ 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O+</t>
    </r>
  </si>
  <si>
    <t>0_2</t>
  </si>
  <si>
    <t>2_2</t>
  </si>
  <si>
    <t>2_2-6</t>
  </si>
  <si>
    <t>2-6_3</t>
  </si>
  <si>
    <t>2-6_2-6</t>
  </si>
  <si>
    <t>0_0 -&gt; 0_2 -&gt; 2_2 -&gt; 2_2-6 -&gt; 2-6_2-6 -&gt; 2-6_3 -&gt; 3_3 route</t>
  </si>
  <si>
    <t>Start</t>
  </si>
  <si>
    <t>End</t>
  </si>
  <si>
    <t>No. NO2 groups</t>
  </si>
  <si>
    <r>
      <t>NC-(5ONO</t>
    </r>
    <r>
      <rPr>
        <strike/>
        <vertAlign val="subscript"/>
        <sz val="11"/>
        <color theme="1"/>
        <rFont val="Calibri"/>
        <family val="2"/>
        <scheme val="minor"/>
      </rPr>
      <t>2</t>
    </r>
    <r>
      <rPr>
        <strike/>
        <sz val="11"/>
        <color theme="1"/>
        <rFont val="Calibri"/>
        <family val="2"/>
        <scheme val="minor"/>
      </rPr>
      <t>) + NO</t>
    </r>
    <r>
      <rPr>
        <strike/>
        <vertAlign val="subscript"/>
        <sz val="11"/>
        <color theme="1"/>
        <rFont val="Calibri"/>
        <family val="2"/>
        <scheme val="minor"/>
      </rPr>
      <t>2</t>
    </r>
    <r>
      <rPr>
        <strike/>
        <vertAlign val="superscript"/>
        <sz val="11"/>
        <color theme="1"/>
        <rFont val="Calibri"/>
        <family val="2"/>
        <scheme val="minor"/>
      </rPr>
      <t>+</t>
    </r>
    <r>
      <rPr>
        <strike/>
        <sz val="11"/>
        <color theme="1"/>
        <rFont val="Calibri"/>
        <family val="2"/>
        <scheme val="minor"/>
      </rPr>
      <t xml:space="preserve"> + H</t>
    </r>
    <r>
      <rPr>
        <strike/>
        <vertAlign val="subscript"/>
        <sz val="11"/>
        <color theme="1"/>
        <rFont val="Calibri"/>
        <family val="2"/>
        <scheme val="minor"/>
      </rPr>
      <t>2</t>
    </r>
    <r>
      <rPr>
        <strike/>
        <sz val="11"/>
        <color theme="1"/>
        <rFont val="Calibri"/>
        <family val="2"/>
        <scheme val="minor"/>
      </rPr>
      <t>O + 5H</t>
    </r>
    <r>
      <rPr>
        <strike/>
        <vertAlign val="subscript"/>
        <sz val="11"/>
        <color theme="1"/>
        <rFont val="Calibri"/>
        <family val="2"/>
        <scheme val="minor"/>
      </rPr>
      <t>3</t>
    </r>
    <r>
      <rPr>
        <strike/>
        <sz val="11"/>
        <color theme="1"/>
        <rFont val="Calibri"/>
        <family val="2"/>
        <scheme val="minor"/>
      </rPr>
      <t>O</t>
    </r>
    <r>
      <rPr>
        <strike/>
        <vertAlign val="superscript"/>
        <sz val="11"/>
        <color theme="1"/>
        <rFont val="Calibri"/>
        <family val="2"/>
        <scheme val="minor"/>
      </rPr>
      <t>+</t>
    </r>
  </si>
  <si>
    <r>
      <t>NC-(6ONO</t>
    </r>
    <r>
      <rPr>
        <strike/>
        <vertAlign val="subscript"/>
        <sz val="11"/>
        <color theme="1"/>
        <rFont val="Calibri"/>
        <family val="2"/>
        <scheme val="minor"/>
      </rPr>
      <t>2</t>
    </r>
    <r>
      <rPr>
        <strike/>
        <sz val="11"/>
        <color theme="1"/>
        <rFont val="Calibri"/>
        <family val="2"/>
        <scheme val="minor"/>
      </rPr>
      <t>) + 6 H</t>
    </r>
    <r>
      <rPr>
        <strike/>
        <vertAlign val="subscript"/>
        <sz val="11"/>
        <color theme="1"/>
        <rFont val="Calibri"/>
        <family val="2"/>
        <scheme val="minor"/>
      </rPr>
      <t>3</t>
    </r>
    <r>
      <rPr>
        <strike/>
        <sz val="11"/>
        <color theme="1"/>
        <rFont val="Calibri"/>
        <family val="2"/>
        <scheme val="minor"/>
      </rPr>
      <t>O</t>
    </r>
    <r>
      <rPr>
        <strike/>
        <vertAlign val="superscript"/>
        <sz val="11"/>
        <color theme="1"/>
        <rFont val="Calibri"/>
        <family val="2"/>
        <scheme val="minor"/>
      </rPr>
      <t>+</t>
    </r>
  </si>
  <si>
    <t>NC3_3 + 6 H3O+</t>
  </si>
  <si>
    <t>Number of groups:</t>
  </si>
  <si>
    <t xml:space="preserve">NO2 </t>
  </si>
  <si>
    <t>H2O</t>
  </si>
  <si>
    <t>NO2+</t>
  </si>
  <si>
    <t>H3O+</t>
  </si>
  <si>
    <t>React</t>
  </si>
  <si>
    <t>Prod</t>
  </si>
  <si>
    <t>NC3_3</t>
  </si>
  <si>
    <t>S total (react)</t>
  </si>
  <si>
    <t>H  total (react)</t>
  </si>
  <si>
    <t>S total (prod)</t>
  </si>
  <si>
    <t>H total (prod)</t>
  </si>
  <si>
    <t>0_0</t>
  </si>
  <si>
    <t>2_0</t>
  </si>
  <si>
    <t>3_2-6</t>
  </si>
  <si>
    <t>0_0 -&gt;  0_2</t>
  </si>
  <si>
    <t>0_2 -&gt; 2_2</t>
  </si>
  <si>
    <t>0_0 -&gt; 2_0</t>
  </si>
  <si>
    <t>2_2 -&gt; 2-6_2</t>
  </si>
  <si>
    <t>2_2 -&gt; 2_2-6</t>
  </si>
  <si>
    <t>2-6_2 -&gt; 2-6_2-6</t>
  </si>
  <si>
    <t>2_2-6 -&gt; 2-6_2-6</t>
  </si>
  <si>
    <t>2-6_3 -&gt; 3_3</t>
  </si>
  <si>
    <t>2-6_2-6 -&gt; 2-6_3</t>
  </si>
  <si>
    <t>Route 1</t>
  </si>
  <si>
    <t>Route 2</t>
  </si>
  <si>
    <t>2_0 -&gt; 2_2</t>
  </si>
  <si>
    <t>2-6_2-6 -&gt; 3_2-6</t>
  </si>
  <si>
    <t>3_2-6 -&gt; 3_3</t>
  </si>
  <si>
    <t>G</t>
  </si>
  <si>
    <t>Boltzman</t>
  </si>
  <si>
    <t>T /K</t>
  </si>
  <si>
    <t>SCF Done</t>
  </si>
  <si>
    <t>ZP corr</t>
  </si>
  <si>
    <t>G = H -TS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</si>
</sst>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vertAlign val="subscript"/>
      <sz val="11"/>
      <color theme="1"/>
      <name val="Calibri"/>
      <family val="2"/>
      <scheme val="minor"/>
    </font>
    <font>
      <strike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" fontId="0" fillId="0" borderId="0" xfId="0" applyNumberFormat="1"/>
    <xf numFmtId="0" fontId="1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7" fillId="2" borderId="0" xfId="0" applyFont="1" applyFill="1"/>
    <xf numFmtId="0" fontId="7" fillId="2" borderId="0" xfId="0" applyFont="1" applyFill="1" applyBorder="1"/>
    <xf numFmtId="0" fontId="7" fillId="0" borderId="0" xfId="0" applyFont="1" applyBorder="1"/>
    <xf numFmtId="0" fontId="0" fillId="2" borderId="0" xfId="0" applyFill="1"/>
    <xf numFmtId="0" fontId="0" fillId="2" borderId="0" xfId="0" applyFill="1" applyBorder="1"/>
    <xf numFmtId="0" fontId="1" fillId="0" borderId="0" xfId="0" applyFont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8" fillId="0" borderId="4" xfId="0" applyFont="1" applyBorder="1"/>
    <xf numFmtId="0" fontId="8" fillId="0" borderId="0" xfId="0" applyFont="1" applyBorder="1"/>
    <xf numFmtId="0" fontId="9" fillId="0" borderId="4" xfId="0" applyFont="1" applyBorder="1"/>
    <xf numFmtId="0" fontId="9" fillId="0" borderId="0" xfId="0" applyFont="1" applyBorder="1"/>
    <xf numFmtId="0" fontId="10" fillId="0" borderId="4" xfId="0" applyFont="1" applyBorder="1"/>
    <xf numFmtId="0" fontId="10" fillId="0" borderId="0" xfId="0" applyFont="1" applyBorder="1"/>
    <xf numFmtId="164" fontId="9" fillId="0" borderId="5" xfId="0" applyNumberFormat="1" applyFont="1" applyBorder="1"/>
    <xf numFmtId="164" fontId="0" fillId="0" borderId="5" xfId="0" applyNumberFormat="1" applyBorder="1"/>
    <xf numFmtId="164" fontId="8" fillId="0" borderId="5" xfId="0" applyNumberFormat="1" applyFont="1" applyBorder="1"/>
    <xf numFmtId="164" fontId="10" fillId="0" borderId="5" xfId="0" applyNumberFormat="1" applyFont="1" applyBorder="1"/>
    <xf numFmtId="164" fontId="0" fillId="0" borderId="8" xfId="0" applyNumberFormat="1" applyBorder="1"/>
    <xf numFmtId="164" fontId="0" fillId="0" borderId="0" xfId="0" applyNumberFormat="1"/>
    <xf numFmtId="2" fontId="0" fillId="0" borderId="0" xfId="0" applyNumberFormat="1" applyBorder="1"/>
    <xf numFmtId="2" fontId="9" fillId="0" borderId="0" xfId="0" applyNumberFormat="1" applyFont="1" applyBorder="1"/>
    <xf numFmtId="2" fontId="8" fillId="0" borderId="0" xfId="0" applyNumberFormat="1" applyFont="1" applyBorder="1"/>
    <xf numFmtId="2" fontId="10" fillId="0" borderId="0" xfId="0" applyNumberFormat="1" applyFont="1" applyBorder="1"/>
    <xf numFmtId="2" fontId="0" fillId="0" borderId="7" xfId="0" applyNumberFormat="1" applyBorder="1"/>
    <xf numFmtId="165" fontId="0" fillId="0" borderId="0" xfId="0" applyNumberFormat="1"/>
    <xf numFmtId="0" fontId="0" fillId="0" borderId="0" xfId="0" applyFill="1" applyBorder="1"/>
    <xf numFmtId="11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topLeftCell="A10" zoomScale="57" workbookViewId="0">
      <selection activeCell="L10" sqref="L1:L1048576"/>
    </sheetView>
  </sheetViews>
  <sheetFormatPr defaultRowHeight="14.5" x14ac:dyDescent="0.35"/>
  <cols>
    <col min="1" max="1" width="19.7265625" customWidth="1"/>
    <col min="3" max="3" width="31.7265625" customWidth="1"/>
    <col min="4" max="4" width="27.453125" customWidth="1"/>
    <col min="5" max="5" width="39.7265625" bestFit="1" customWidth="1"/>
    <col min="6" max="6" width="31" customWidth="1"/>
    <col min="7" max="7" width="13.81640625" customWidth="1"/>
    <col min="8" max="8" width="15" customWidth="1"/>
    <col min="9" max="9" width="13.1796875" customWidth="1"/>
    <col min="10" max="10" width="12.1796875" bestFit="1" customWidth="1"/>
    <col min="12" max="12" width="12.81640625" bestFit="1" customWidth="1"/>
  </cols>
  <sheetData>
    <row r="1" spans="3:9" x14ac:dyDescent="0.35">
      <c r="C1" t="s">
        <v>21</v>
      </c>
      <c r="G1" s="42" t="s">
        <v>74</v>
      </c>
      <c r="H1" s="42" t="s">
        <v>73</v>
      </c>
    </row>
    <row r="2" spans="3:9" s="2" customFormat="1" x14ac:dyDescent="0.35">
      <c r="C2" s="2" t="s">
        <v>3</v>
      </c>
      <c r="D2" s="2" t="s">
        <v>16</v>
      </c>
      <c r="G2">
        <v>298.14999999999998</v>
      </c>
      <c r="H2" s="41">
        <v>1.3806485199999999E-23</v>
      </c>
      <c r="I2" s="43">
        <v>6.0221409000000001E+23</v>
      </c>
    </row>
    <row r="3" spans="3:9" x14ac:dyDescent="0.35">
      <c r="C3" t="s">
        <v>0</v>
      </c>
      <c r="D3" s="2" t="s">
        <v>1</v>
      </c>
      <c r="E3" s="2" t="s">
        <v>2</v>
      </c>
      <c r="F3" t="s">
        <v>72</v>
      </c>
      <c r="G3" s="2" t="s">
        <v>77</v>
      </c>
    </row>
    <row r="4" spans="3:9" x14ac:dyDescent="0.35">
      <c r="D4" s="2" t="s">
        <v>17</v>
      </c>
      <c r="E4" s="2" t="s">
        <v>19</v>
      </c>
    </row>
    <row r="5" spans="3:9" x14ac:dyDescent="0.35">
      <c r="C5" t="s">
        <v>20</v>
      </c>
      <c r="D5" t="s">
        <v>1</v>
      </c>
      <c r="E5" t="s">
        <v>18</v>
      </c>
    </row>
    <row r="7" spans="3:9" x14ac:dyDescent="0.35">
      <c r="C7" t="s">
        <v>6</v>
      </c>
      <c r="D7">
        <v>176.786</v>
      </c>
      <c r="E7" s="33">
        <v>-1375.8492329999999</v>
      </c>
      <c r="F7" s="33">
        <v>-1375.9332300000001</v>
      </c>
      <c r="G7">
        <f t="shared" ref="G7:G16" si="0">E7-($G$2*D7)</f>
        <v>-54084.595132999995</v>
      </c>
      <c r="I7">
        <f>G8-G7</f>
        <v>-3563.9619669999956</v>
      </c>
    </row>
    <row r="8" spans="3:9" x14ac:dyDescent="0.35">
      <c r="C8" t="s">
        <v>5</v>
      </c>
      <c r="D8">
        <v>188.054</v>
      </c>
      <c r="E8" s="33">
        <v>-1580.2570000000001</v>
      </c>
      <c r="F8" s="33">
        <v>-1580.3463509999999</v>
      </c>
      <c r="G8">
        <f t="shared" si="0"/>
        <v>-57648.557099999991</v>
      </c>
    </row>
    <row r="9" spans="3:9" x14ac:dyDescent="0.35">
      <c r="C9" t="s">
        <v>7</v>
      </c>
      <c r="D9">
        <v>193.59100000000001</v>
      </c>
      <c r="E9" s="33">
        <v>-1580.255772</v>
      </c>
      <c r="F9" s="33">
        <v>-1580.3477539999999</v>
      </c>
      <c r="G9">
        <f t="shared" si="0"/>
        <v>-59299.412421999994</v>
      </c>
    </row>
    <row r="10" spans="3:9" x14ac:dyDescent="0.35">
      <c r="C10" s="1" t="s">
        <v>8</v>
      </c>
      <c r="D10">
        <v>210.535</v>
      </c>
      <c r="E10" s="33">
        <v>-1784.664761</v>
      </c>
      <c r="F10" s="33">
        <v>-1784.7647939999999</v>
      </c>
      <c r="G10">
        <f t="shared" si="0"/>
        <v>-64555.675010999992</v>
      </c>
    </row>
    <row r="11" spans="3:9" x14ac:dyDescent="0.35">
      <c r="C11" t="s">
        <v>9</v>
      </c>
      <c r="D11">
        <v>222.74700000000001</v>
      </c>
      <c r="E11" s="33">
        <v>-1989.0857329999999</v>
      </c>
      <c r="F11" s="33">
        <v>-1989.1915670000001</v>
      </c>
      <c r="G11">
        <f t="shared" si="0"/>
        <v>-68401.103782999999</v>
      </c>
    </row>
    <row r="12" spans="3:9" x14ac:dyDescent="0.35">
      <c r="C12" t="s">
        <v>10</v>
      </c>
      <c r="D12">
        <v>223.79900000000001</v>
      </c>
      <c r="E12" s="33">
        <v>-1989.0801630000001</v>
      </c>
      <c r="F12" s="33">
        <v>-1989.1864969999999</v>
      </c>
      <c r="G12">
        <f t="shared" si="0"/>
        <v>-68714.752013000005</v>
      </c>
    </row>
    <row r="13" spans="3:9" x14ac:dyDescent="0.35">
      <c r="C13" t="s">
        <v>11</v>
      </c>
      <c r="D13">
        <v>240.411</v>
      </c>
      <c r="E13" s="33">
        <v>-2193.4983160000002</v>
      </c>
      <c r="F13" s="33">
        <v>-2193.6125430000002</v>
      </c>
      <c r="G13">
        <f t="shared" si="0"/>
        <v>-73872.037965999989</v>
      </c>
    </row>
    <row r="14" spans="3:9" x14ac:dyDescent="0.35">
      <c r="C14" t="s">
        <v>12</v>
      </c>
      <c r="D14">
        <v>253.05699999999999</v>
      </c>
      <c r="E14" s="33">
        <v>-2397.9077699999998</v>
      </c>
      <c r="F14" s="33">
        <v>-2398.0280050000001</v>
      </c>
      <c r="G14">
        <f t="shared" si="0"/>
        <v>-77846.852319999991</v>
      </c>
    </row>
    <row r="15" spans="3:9" x14ac:dyDescent="0.35">
      <c r="C15" t="s">
        <v>13</v>
      </c>
      <c r="D15">
        <v>249.739</v>
      </c>
      <c r="E15" s="33">
        <v>-2397.9129969999999</v>
      </c>
      <c r="F15" s="33">
        <v>-2398.0316560000001</v>
      </c>
      <c r="G15">
        <f t="shared" si="0"/>
        <v>-76857.595847000004</v>
      </c>
    </row>
    <row r="16" spans="3:9" x14ac:dyDescent="0.35">
      <c r="C16" t="s">
        <v>14</v>
      </c>
      <c r="D16">
        <v>266.34300000000002</v>
      </c>
      <c r="E16" s="33">
        <v>-2602.3213420000002</v>
      </c>
      <c r="F16" s="33">
        <v>-2398.0280050000001</v>
      </c>
      <c r="G16">
        <f t="shared" si="0"/>
        <v>-82012.486791999996</v>
      </c>
    </row>
    <row r="17" spans="1:14" x14ac:dyDescent="0.35">
      <c r="E17" s="33"/>
      <c r="F17" s="33"/>
    </row>
    <row r="18" spans="1:14" x14ac:dyDescent="0.35">
      <c r="E18" s="33"/>
      <c r="F18" s="33"/>
    </row>
    <row r="19" spans="1:14" x14ac:dyDescent="0.35">
      <c r="C19" t="s">
        <v>15</v>
      </c>
      <c r="D19">
        <v>46.198</v>
      </c>
      <c r="E19" s="33">
        <v>-76.653397999999996</v>
      </c>
      <c r="F19" s="33">
        <v>-76.675348</v>
      </c>
      <c r="G19">
        <f>E19-($G$2*D19)</f>
        <v>-13850.587098</v>
      </c>
      <c r="I19" s="41"/>
    </row>
    <row r="20" spans="1:14" x14ac:dyDescent="0.35">
      <c r="C20" t="s">
        <v>22</v>
      </c>
      <c r="D20">
        <v>51.002000000000002</v>
      </c>
      <c r="E20" s="33">
        <v>-204.657489</v>
      </c>
      <c r="F20" s="33">
        <v>-204.68172200000001</v>
      </c>
      <c r="G20">
        <f>E20-($G$2*D20)</f>
        <v>-15410.903788999998</v>
      </c>
      <c r="H20" s="41"/>
      <c r="I20" s="41"/>
    </row>
    <row r="21" spans="1:14" x14ac:dyDescent="0.35">
      <c r="C21" t="s">
        <v>23</v>
      </c>
      <c r="D21">
        <v>45.058999999999997</v>
      </c>
      <c r="E21">
        <v>-76.390062</v>
      </c>
      <c r="F21" s="33">
        <v>-76.411471000000006</v>
      </c>
      <c r="G21">
        <f>E21-($G$2*D21)</f>
        <v>-13510.730911999999</v>
      </c>
    </row>
    <row r="23" spans="1:14" hidden="1" x14ac:dyDescent="0.35">
      <c r="A23" t="s">
        <v>1</v>
      </c>
    </row>
    <row r="24" spans="1:14" hidden="1" x14ac:dyDescent="0.35">
      <c r="A24" t="s">
        <v>39</v>
      </c>
      <c r="C24" t="s">
        <v>36</v>
      </c>
    </row>
    <row r="25" spans="1:14" hidden="1" x14ac:dyDescent="0.35">
      <c r="A25" t="s">
        <v>37</v>
      </c>
      <c r="B25" t="s">
        <v>38</v>
      </c>
      <c r="C25" t="s">
        <v>24</v>
      </c>
      <c r="D25" s="2" t="s">
        <v>1</v>
      </c>
      <c r="E25" s="2" t="s">
        <v>2</v>
      </c>
      <c r="F25" t="s">
        <v>26</v>
      </c>
      <c r="G25" s="2" t="s">
        <v>1</v>
      </c>
      <c r="H25" s="2"/>
      <c r="I25" s="2" t="s">
        <v>2</v>
      </c>
      <c r="K25" s="2" t="s">
        <v>28</v>
      </c>
      <c r="L25" s="2" t="s">
        <v>29</v>
      </c>
      <c r="N25" s="2" t="s">
        <v>27</v>
      </c>
    </row>
    <row r="26" spans="1:14" ht="17.5" hidden="1" x14ac:dyDescent="0.45">
      <c r="A26">
        <v>0</v>
      </c>
      <c r="B26">
        <v>1</v>
      </c>
      <c r="C26" t="s">
        <v>25</v>
      </c>
      <c r="D26">
        <f>D7+(6*D20)+(6*D21)</f>
        <v>753.15200000000004</v>
      </c>
      <c r="E26">
        <f>E7+(6*E20)+(6*E21)</f>
        <v>-3062.1345390000001</v>
      </c>
      <c r="F26" t="s">
        <v>30</v>
      </c>
      <c r="G26">
        <f>D8+(5*D20)+(5*D21)+D19</f>
        <v>714.55700000000002</v>
      </c>
      <c r="I26">
        <f>E8+(5*E20)+(5*E21)+E19</f>
        <v>-3062.1481530000001</v>
      </c>
    </row>
    <row r="27" spans="1:14" hidden="1" x14ac:dyDescent="0.35">
      <c r="A27">
        <v>1</v>
      </c>
      <c r="B27">
        <v>2</v>
      </c>
      <c r="C27" t="s">
        <v>31</v>
      </c>
      <c r="D27">
        <f>D8+(($B$31-$B26)*$D$20)+((B$31-B26)*$D$21)+($B26*$D$19)</f>
        <v>714.55700000000002</v>
      </c>
    </row>
    <row r="28" spans="1:14" hidden="1" x14ac:dyDescent="0.35">
      <c r="A28">
        <v>2</v>
      </c>
      <c r="B28">
        <v>3</v>
      </c>
      <c r="C28" t="s">
        <v>32</v>
      </c>
      <c r="D28">
        <f>D10+(B29*D20)+(B29*D21)+(B28*D19)</f>
        <v>733.37300000000005</v>
      </c>
    </row>
    <row r="29" spans="1:14" hidden="1" x14ac:dyDescent="0.35">
      <c r="A29">
        <v>3</v>
      </c>
      <c r="B29">
        <v>4</v>
      </c>
      <c r="C29" t="s">
        <v>33</v>
      </c>
      <c r="D29">
        <f>D12+(B28*D20)+(B28*D21)+(B29*D19)</f>
        <v>696.774</v>
      </c>
    </row>
    <row r="30" spans="1:14" hidden="1" x14ac:dyDescent="0.35">
      <c r="A30">
        <v>4</v>
      </c>
      <c r="B30">
        <v>5</v>
      </c>
      <c r="C30" t="s">
        <v>35</v>
      </c>
      <c r="D30">
        <f>D13+(B27*D20)+(B27*D21)+(B29*D19)</f>
        <v>617.32500000000005</v>
      </c>
    </row>
    <row r="31" spans="1:14" hidden="1" x14ac:dyDescent="0.35">
      <c r="A31">
        <v>5</v>
      </c>
      <c r="B31">
        <v>6</v>
      </c>
      <c r="C31" t="s">
        <v>34</v>
      </c>
      <c r="D31">
        <f>D15+(B26*D20)+(B26*D21)+(B30*D19)</f>
        <v>576.79</v>
      </c>
      <c r="F31" t="s">
        <v>42</v>
      </c>
    </row>
    <row r="32" spans="1:14" s="3" customFormat="1" ht="17.5" hidden="1" x14ac:dyDescent="0.45">
      <c r="A32" s="3">
        <v>6</v>
      </c>
      <c r="B32" s="3">
        <v>7</v>
      </c>
      <c r="C32" s="3" t="s">
        <v>40</v>
      </c>
      <c r="D32" s="3">
        <f>D15+(D20)+((D21)+($B31*D19))</f>
        <v>622.98799999999994</v>
      </c>
      <c r="F32" s="3" t="s">
        <v>41</v>
      </c>
    </row>
    <row r="34" spans="1:12" x14ac:dyDescent="0.35">
      <c r="A34" s="2"/>
    </row>
    <row r="35" spans="1:12" ht="15" thickBot="1" x14ac:dyDescent="0.4">
      <c r="A35" s="16" t="s">
        <v>48</v>
      </c>
      <c r="B35" s="8"/>
      <c r="C35" s="8"/>
      <c r="D35" s="8"/>
      <c r="E35" s="8"/>
      <c r="F35" s="8"/>
      <c r="L35">
        <v>298.14999999999998</v>
      </c>
    </row>
    <row r="36" spans="1:12" x14ac:dyDescent="0.35">
      <c r="A36" s="4" t="s">
        <v>43</v>
      </c>
      <c r="B36" s="5"/>
      <c r="C36" s="5"/>
      <c r="D36" s="5"/>
      <c r="E36" s="5"/>
      <c r="F36" s="5"/>
      <c r="G36" s="6"/>
      <c r="H36" s="8"/>
    </row>
    <row r="37" spans="1:12" x14ac:dyDescent="0.35">
      <c r="A37" s="7"/>
      <c r="B37" s="8" t="s">
        <v>44</v>
      </c>
      <c r="C37" s="8" t="s">
        <v>45</v>
      </c>
      <c r="D37" s="13" t="s">
        <v>46</v>
      </c>
      <c r="E37" s="8" t="s">
        <v>47</v>
      </c>
      <c r="F37" s="8" t="s">
        <v>51</v>
      </c>
      <c r="G37" s="9" t="s">
        <v>52</v>
      </c>
      <c r="H37" s="8"/>
      <c r="I37" s="2" t="s">
        <v>28</v>
      </c>
      <c r="J37" s="2" t="s">
        <v>29</v>
      </c>
      <c r="L37" s="2" t="s">
        <v>27</v>
      </c>
    </row>
    <row r="38" spans="1:12" x14ac:dyDescent="0.35">
      <c r="A38" s="7"/>
      <c r="B38" s="8"/>
      <c r="C38" s="8"/>
      <c r="D38" s="8"/>
      <c r="E38" s="8"/>
      <c r="F38" s="8"/>
      <c r="G38" s="9"/>
      <c r="H38" s="8" t="s">
        <v>67</v>
      </c>
    </row>
    <row r="39" spans="1:12" ht="17.5" x14ac:dyDescent="0.45">
      <c r="A39" s="7" t="s">
        <v>25</v>
      </c>
      <c r="B39" s="8">
        <v>0</v>
      </c>
      <c r="C39" s="8">
        <v>6</v>
      </c>
      <c r="D39" s="8">
        <v>6</v>
      </c>
      <c r="E39" s="8">
        <v>0</v>
      </c>
      <c r="F39" s="34">
        <f t="shared" ref="F39:G45" si="1">D7+$C39*$D$21+$D39*$D$20+$E39*$D$19</f>
        <v>753.15200000000004</v>
      </c>
      <c r="G39" s="29">
        <f t="shared" si="1"/>
        <v>-799.48323299999993</v>
      </c>
      <c r="H39" s="8" t="s">
        <v>58</v>
      </c>
      <c r="I39" s="39">
        <f>F56-F39</f>
        <v>-38.595000000000027</v>
      </c>
      <c r="J39" s="33">
        <f>G56-G39</f>
        <v>-254.27076699999998</v>
      </c>
      <c r="L39" s="39">
        <f>J39-$L$35*I39</f>
        <v>11252.828483000007</v>
      </c>
    </row>
    <row r="40" spans="1:12" x14ac:dyDescent="0.35">
      <c r="A40" s="24" t="s">
        <v>31</v>
      </c>
      <c r="B40" s="25">
        <v>1</v>
      </c>
      <c r="C40" s="25">
        <v>5</v>
      </c>
      <c r="D40" s="25">
        <v>5</v>
      </c>
      <c r="E40" s="25">
        <v>1</v>
      </c>
      <c r="F40" s="35">
        <f t="shared" si="1"/>
        <v>714.55700000000002</v>
      </c>
      <c r="G40" s="28">
        <f t="shared" si="1"/>
        <v>-1053.7539999999999</v>
      </c>
      <c r="H40" s="25" t="s">
        <v>59</v>
      </c>
      <c r="I40" s="39">
        <f>F58-F40</f>
        <v>-27.382000000000062</v>
      </c>
      <c r="J40" s="33">
        <f>G58-G40</f>
        <v>-254.27076100000022</v>
      </c>
      <c r="L40" s="39">
        <f>J40-$L$35*I40</f>
        <v>7909.6725390000174</v>
      </c>
    </row>
    <row r="41" spans="1:12" x14ac:dyDescent="0.35">
      <c r="A41" s="24" t="s">
        <v>56</v>
      </c>
      <c r="B41" s="25">
        <v>1</v>
      </c>
      <c r="C41" s="25">
        <v>5</v>
      </c>
      <c r="D41" s="25">
        <v>5</v>
      </c>
      <c r="E41" s="25">
        <v>1</v>
      </c>
      <c r="F41" s="35">
        <f t="shared" si="1"/>
        <v>720.09399999999994</v>
      </c>
      <c r="G41" s="28">
        <f t="shared" si="1"/>
        <v>-1053.7527719999998</v>
      </c>
    </row>
    <row r="42" spans="1:12" x14ac:dyDescent="0.35">
      <c r="A42" s="7" t="s">
        <v>32</v>
      </c>
      <c r="B42" s="8">
        <v>2</v>
      </c>
      <c r="C42" s="8">
        <v>4</v>
      </c>
      <c r="D42" s="8">
        <v>4</v>
      </c>
      <c r="E42" s="8">
        <v>2</v>
      </c>
      <c r="F42" s="34">
        <f t="shared" si="1"/>
        <v>687.17499999999995</v>
      </c>
      <c r="G42" s="29">
        <f t="shared" si="1"/>
        <v>-1308.0247610000001</v>
      </c>
      <c r="H42" s="8" t="s">
        <v>62</v>
      </c>
      <c r="I42" s="39">
        <f>F60-F42</f>
        <v>-36.598999999999933</v>
      </c>
      <c r="J42" s="33">
        <f>G60-G42</f>
        <v>-254.27840199999991</v>
      </c>
      <c r="L42" s="39">
        <f>J42-$L$35*I42</f>
        <v>10657.713447999979</v>
      </c>
    </row>
    <row r="43" spans="1:12" x14ac:dyDescent="0.35">
      <c r="A43" s="22" t="s">
        <v>4</v>
      </c>
      <c r="B43" s="23">
        <v>3</v>
      </c>
      <c r="C43" s="23">
        <v>3</v>
      </c>
      <c r="D43" s="23">
        <v>3</v>
      </c>
      <c r="E43" s="23">
        <v>3</v>
      </c>
      <c r="F43" s="36">
        <f t="shared" si="1"/>
        <v>649.52399999999989</v>
      </c>
      <c r="G43" s="30">
        <f t="shared" si="1"/>
        <v>-1562.3087329999998</v>
      </c>
      <c r="H43" s="23"/>
      <c r="I43" s="39"/>
      <c r="J43" s="33"/>
      <c r="L43" s="39"/>
    </row>
    <row r="44" spans="1:12" x14ac:dyDescent="0.35">
      <c r="A44" s="22" t="s">
        <v>33</v>
      </c>
      <c r="B44" s="23">
        <v>3</v>
      </c>
      <c r="C44" s="23">
        <v>3</v>
      </c>
      <c r="D44" s="23">
        <v>3</v>
      </c>
      <c r="E44" s="23">
        <v>3</v>
      </c>
      <c r="F44" s="36">
        <f t="shared" si="1"/>
        <v>650.57600000000002</v>
      </c>
      <c r="G44" s="30">
        <f t="shared" si="1"/>
        <v>-1562.303163</v>
      </c>
      <c r="H44" s="23" t="s">
        <v>64</v>
      </c>
      <c r="I44" s="39">
        <f>F61-F44</f>
        <v>-33.250999999999976</v>
      </c>
      <c r="J44" s="33">
        <f>G61-G44</f>
        <v>-254.28115300000036</v>
      </c>
      <c r="L44" s="39">
        <f>J44-$L$35*I44</f>
        <v>9659.5044969999926</v>
      </c>
    </row>
    <row r="45" spans="1:12" x14ac:dyDescent="0.35">
      <c r="A45" s="7" t="s">
        <v>35</v>
      </c>
      <c r="B45" s="8">
        <v>4</v>
      </c>
      <c r="C45" s="8">
        <v>2</v>
      </c>
      <c r="D45" s="8">
        <v>2</v>
      </c>
      <c r="E45" s="8">
        <v>4</v>
      </c>
      <c r="F45" s="34">
        <f t="shared" si="1"/>
        <v>617.32500000000005</v>
      </c>
      <c r="G45" s="29">
        <f t="shared" si="1"/>
        <v>-1816.5843160000004</v>
      </c>
      <c r="H45" s="8" t="s">
        <v>66</v>
      </c>
      <c r="I45" s="39">
        <f>F62-F45</f>
        <v>-40.535000000000082</v>
      </c>
      <c r="J45" s="33">
        <f>G62-G45</f>
        <v>-254.27768099999957</v>
      </c>
      <c r="L45" s="39">
        <f>J45-$L$35*I45</f>
        <v>11831.232569000023</v>
      </c>
    </row>
    <row r="46" spans="1:12" x14ac:dyDescent="0.35">
      <c r="A46" s="26" t="s">
        <v>34</v>
      </c>
      <c r="B46" s="27">
        <v>5</v>
      </c>
      <c r="C46" s="27">
        <v>1</v>
      </c>
      <c r="D46" s="27">
        <v>1</v>
      </c>
      <c r="E46" s="27">
        <v>5</v>
      </c>
      <c r="F46" s="37">
        <f>D15+$C46*$D$21+$D46*$D$20+$E46*$D$19</f>
        <v>576.79</v>
      </c>
      <c r="G46" s="31">
        <f>E15+$C46*$D$21+$D46*$D$20+$E46*$D$19</f>
        <v>-2070.861997</v>
      </c>
      <c r="H46" s="27" t="s">
        <v>65</v>
      </c>
      <c r="I46" s="39">
        <f>F64-F46</f>
        <v>-33.259000000000015</v>
      </c>
      <c r="J46" s="33">
        <f>G64-G46</f>
        <v>-254.27134500000011</v>
      </c>
      <c r="L46" s="39">
        <f>J46-$L$35*I46</f>
        <v>9661.8995050000049</v>
      </c>
    </row>
    <row r="47" spans="1:12" x14ac:dyDescent="0.35">
      <c r="A47" s="26" t="s">
        <v>57</v>
      </c>
      <c r="B47" s="27">
        <v>5</v>
      </c>
      <c r="C47" s="27">
        <v>1</v>
      </c>
      <c r="D47" s="27">
        <v>1</v>
      </c>
      <c r="E47" s="27">
        <v>5</v>
      </c>
      <c r="F47" s="37">
        <f>D14+$C47*$D$21+$D47*$D$20+$E47*$D$19</f>
        <v>580.10799999999995</v>
      </c>
      <c r="G47" s="31">
        <f>E14+$C47*$D$21+$D47*$D$20+$E47*$D$19</f>
        <v>-2070.8567699999994</v>
      </c>
      <c r="H47" s="27"/>
    </row>
    <row r="48" spans="1:12" s="11" customFormat="1" ht="15" thickBot="1" x14ac:dyDescent="0.4">
      <c r="A48" s="17" t="s">
        <v>50</v>
      </c>
      <c r="B48" s="18">
        <v>6</v>
      </c>
      <c r="C48" s="18">
        <v>0</v>
      </c>
      <c r="D48" s="18">
        <v>0</v>
      </c>
      <c r="E48" s="18">
        <v>6</v>
      </c>
      <c r="F48" s="18"/>
      <c r="G48" s="19"/>
      <c r="H48" s="12" t="s">
        <v>68</v>
      </c>
    </row>
    <row r="49" spans="1:12" x14ac:dyDescent="0.35">
      <c r="A49" s="8"/>
      <c r="B49" s="8"/>
      <c r="C49" s="8"/>
      <c r="D49" s="8"/>
      <c r="E49" s="8"/>
      <c r="F49" s="8"/>
      <c r="H49" s="13" t="s">
        <v>60</v>
      </c>
      <c r="I49" s="39">
        <f>F57-F39</f>
        <v>-33.058000000000106</v>
      </c>
      <c r="J49" s="33">
        <f>G57-G39</f>
        <v>-254.2695389999999</v>
      </c>
      <c r="L49" s="39">
        <f t="shared" ref="L49:L54" si="2">J49-$L$35*I49</f>
        <v>9601.9731610000308</v>
      </c>
    </row>
    <row r="50" spans="1:12" x14ac:dyDescent="0.35">
      <c r="A50" s="8"/>
      <c r="B50" s="8"/>
      <c r="C50" s="8"/>
      <c r="D50" s="8"/>
      <c r="E50" s="8"/>
      <c r="F50" s="8"/>
      <c r="H50" t="s">
        <v>69</v>
      </c>
      <c r="I50" s="39">
        <f>F58-F41</f>
        <v>-32.918999999999983</v>
      </c>
      <c r="J50" s="33">
        <f>G58-G41</f>
        <v>-254.2719890000003</v>
      </c>
      <c r="L50" s="39">
        <f t="shared" si="2"/>
        <v>9560.5278609999932</v>
      </c>
    </row>
    <row r="51" spans="1:12" ht="15" thickBot="1" x14ac:dyDescent="0.4">
      <c r="A51" s="16" t="s">
        <v>49</v>
      </c>
      <c r="B51" s="8"/>
      <c r="C51" s="8"/>
      <c r="D51" s="8"/>
      <c r="E51" s="8"/>
      <c r="F51" s="8"/>
      <c r="H51" t="s">
        <v>61</v>
      </c>
      <c r="I51" s="39">
        <f>F59-F42</f>
        <v>-37.651000000000067</v>
      </c>
      <c r="J51" s="33">
        <f>G59-G42</f>
        <v>-254.28397199999972</v>
      </c>
      <c r="L51" s="39">
        <f t="shared" si="2"/>
        <v>10971.361678000019</v>
      </c>
    </row>
    <row r="52" spans="1:12" x14ac:dyDescent="0.35">
      <c r="A52" s="4" t="s">
        <v>43</v>
      </c>
      <c r="B52" s="5"/>
      <c r="C52" s="5"/>
      <c r="D52" s="5"/>
      <c r="E52" s="5"/>
      <c r="F52" s="5"/>
      <c r="G52" s="6"/>
      <c r="H52" s="8" t="s">
        <v>63</v>
      </c>
      <c r="I52" s="39">
        <f>F61-F43</f>
        <v>-32.198999999999842</v>
      </c>
      <c r="J52" s="33">
        <f>G61-G43</f>
        <v>-254.27558300000055</v>
      </c>
      <c r="L52" s="39">
        <f t="shared" si="2"/>
        <v>9345.8562669999519</v>
      </c>
    </row>
    <row r="53" spans="1:12" x14ac:dyDescent="0.35">
      <c r="A53" s="7"/>
      <c r="B53" s="8" t="s">
        <v>44</v>
      </c>
      <c r="C53" s="8" t="s">
        <v>45</v>
      </c>
      <c r="D53" s="8" t="s">
        <v>46</v>
      </c>
      <c r="E53" s="8" t="s">
        <v>47</v>
      </c>
      <c r="F53" s="8" t="s">
        <v>53</v>
      </c>
      <c r="G53" s="9" t="s">
        <v>54</v>
      </c>
      <c r="H53" s="40" t="s">
        <v>70</v>
      </c>
      <c r="I53" s="39">
        <f>F63-F45</f>
        <v>-37.217000000000098</v>
      </c>
      <c r="J53" s="33">
        <f>G63-G45</f>
        <v>-254.27245399999902</v>
      </c>
      <c r="L53" s="39">
        <f t="shared" si="2"/>
        <v>10841.976096000028</v>
      </c>
    </row>
    <row r="54" spans="1:12" x14ac:dyDescent="0.35">
      <c r="A54" s="7"/>
      <c r="B54" s="8"/>
      <c r="C54" s="8"/>
      <c r="D54" s="8"/>
      <c r="E54" s="8"/>
      <c r="F54" s="8"/>
      <c r="G54" s="9"/>
      <c r="H54" s="40" t="s">
        <v>71</v>
      </c>
      <c r="I54" s="39">
        <f>F64-F47</f>
        <v>-36.576999999999998</v>
      </c>
      <c r="J54" s="33">
        <f>G64-G47</f>
        <v>-254.27657200000067</v>
      </c>
      <c r="L54" s="39">
        <f t="shared" si="2"/>
        <v>10651.155977999997</v>
      </c>
    </row>
    <row r="55" spans="1:12" s="14" customFormat="1" x14ac:dyDescent="0.35">
      <c r="A55" s="20" t="s">
        <v>55</v>
      </c>
      <c r="B55" s="15">
        <v>0</v>
      </c>
      <c r="C55" s="15">
        <v>6</v>
      </c>
      <c r="D55" s="15">
        <v>6</v>
      </c>
      <c r="E55" s="15">
        <v>0</v>
      </c>
      <c r="F55" s="15"/>
      <c r="G55" s="21"/>
      <c r="H55" s="15"/>
    </row>
    <row r="56" spans="1:12" x14ac:dyDescent="0.35">
      <c r="A56" s="24" t="s">
        <v>31</v>
      </c>
      <c r="B56" s="25">
        <v>1</v>
      </c>
      <c r="C56" s="25">
        <v>5</v>
      </c>
      <c r="D56" s="25">
        <v>5</v>
      </c>
      <c r="E56" s="25">
        <v>1</v>
      </c>
      <c r="F56" s="35">
        <f t="shared" ref="F56:G61" si="3">D8+$C56*$D$21+$D56*$D$20+$E56*$D$19</f>
        <v>714.55700000000002</v>
      </c>
      <c r="G56" s="28">
        <f t="shared" si="3"/>
        <v>-1053.7539999999999</v>
      </c>
      <c r="H56" s="25"/>
    </row>
    <row r="57" spans="1:12" x14ac:dyDescent="0.35">
      <c r="A57" s="24" t="s">
        <v>56</v>
      </c>
      <c r="B57" s="25">
        <v>1</v>
      </c>
      <c r="C57" s="25">
        <v>5</v>
      </c>
      <c r="D57" s="25">
        <v>5</v>
      </c>
      <c r="E57" s="25">
        <v>1</v>
      </c>
      <c r="F57" s="35">
        <f t="shared" si="3"/>
        <v>720.09399999999994</v>
      </c>
      <c r="G57" s="28">
        <f t="shared" si="3"/>
        <v>-1053.7527719999998</v>
      </c>
      <c r="H57" s="25"/>
    </row>
    <row r="58" spans="1:12" x14ac:dyDescent="0.35">
      <c r="A58" s="7" t="s">
        <v>32</v>
      </c>
      <c r="B58" s="8">
        <v>2</v>
      </c>
      <c r="C58" s="8">
        <v>4</v>
      </c>
      <c r="D58" s="8">
        <v>4</v>
      </c>
      <c r="E58" s="8">
        <v>2</v>
      </c>
      <c r="F58" s="34">
        <f t="shared" si="3"/>
        <v>687.17499999999995</v>
      </c>
      <c r="G58" s="29">
        <f t="shared" si="3"/>
        <v>-1308.0247610000001</v>
      </c>
      <c r="H58" s="8"/>
    </row>
    <row r="59" spans="1:12" x14ac:dyDescent="0.35">
      <c r="A59" s="22" t="s">
        <v>4</v>
      </c>
      <c r="B59" s="23">
        <v>3</v>
      </c>
      <c r="C59" s="23">
        <v>3</v>
      </c>
      <c r="D59" s="23">
        <v>3</v>
      </c>
      <c r="E59" s="23">
        <v>3</v>
      </c>
      <c r="F59" s="36">
        <f t="shared" si="3"/>
        <v>649.52399999999989</v>
      </c>
      <c r="G59" s="30">
        <f t="shared" si="3"/>
        <v>-1562.3087329999998</v>
      </c>
      <c r="H59" s="23"/>
    </row>
    <row r="60" spans="1:12" x14ac:dyDescent="0.35">
      <c r="A60" s="22" t="s">
        <v>33</v>
      </c>
      <c r="B60" s="23">
        <v>3</v>
      </c>
      <c r="C60" s="23">
        <v>3</v>
      </c>
      <c r="D60" s="23">
        <v>3</v>
      </c>
      <c r="E60" s="23">
        <v>3</v>
      </c>
      <c r="F60" s="36">
        <f t="shared" si="3"/>
        <v>650.57600000000002</v>
      </c>
      <c r="G60" s="30">
        <f t="shared" si="3"/>
        <v>-1562.303163</v>
      </c>
      <c r="H60" s="23"/>
    </row>
    <row r="61" spans="1:12" x14ac:dyDescent="0.35">
      <c r="A61" s="7" t="s">
        <v>35</v>
      </c>
      <c r="B61" s="8">
        <v>4</v>
      </c>
      <c r="C61" s="8">
        <v>2</v>
      </c>
      <c r="D61" s="8">
        <v>2</v>
      </c>
      <c r="E61" s="8">
        <v>4</v>
      </c>
      <c r="F61" s="34">
        <f t="shared" si="3"/>
        <v>617.32500000000005</v>
      </c>
      <c r="G61" s="29">
        <f t="shared" si="3"/>
        <v>-1816.5843160000004</v>
      </c>
      <c r="H61" s="8"/>
    </row>
    <row r="62" spans="1:12" x14ac:dyDescent="0.35">
      <c r="A62" s="26" t="s">
        <v>34</v>
      </c>
      <c r="B62" s="27">
        <v>5</v>
      </c>
      <c r="C62" s="27">
        <v>1</v>
      </c>
      <c r="D62" s="27">
        <v>1</v>
      </c>
      <c r="E62" s="27">
        <v>5</v>
      </c>
      <c r="F62" s="37">
        <f>D15+$C62*$D$21+$D62*$D$20+$E62*$D$19</f>
        <v>576.79</v>
      </c>
      <c r="G62" s="31">
        <f>E15+$C62*$D$21+$D62*$D$20+$E62*$D$19</f>
        <v>-2070.861997</v>
      </c>
      <c r="H62" s="27"/>
    </row>
    <row r="63" spans="1:12" x14ac:dyDescent="0.35">
      <c r="A63" s="26" t="s">
        <v>57</v>
      </c>
      <c r="B63" s="27">
        <v>5</v>
      </c>
      <c r="C63" s="27">
        <v>1</v>
      </c>
      <c r="D63" s="27">
        <v>1</v>
      </c>
      <c r="E63" s="27">
        <v>5</v>
      </c>
      <c r="F63" s="37">
        <f>D14+$C63*$D$21+$D63*$D$20+$E63*$D$19</f>
        <v>580.10799999999995</v>
      </c>
      <c r="G63" s="31">
        <f>E14+$C63*$D$21+$D63*$D$20+$E63*$D$19</f>
        <v>-2070.8567699999994</v>
      </c>
      <c r="H63" s="27"/>
    </row>
    <row r="64" spans="1:12" ht="15" thickBot="1" x14ac:dyDescent="0.4">
      <c r="A64" s="17" t="s">
        <v>50</v>
      </c>
      <c r="B64" s="10">
        <v>6</v>
      </c>
      <c r="C64" s="10">
        <v>0</v>
      </c>
      <c r="D64" s="10">
        <v>0</v>
      </c>
      <c r="E64" s="10">
        <v>6</v>
      </c>
      <c r="F64" s="38">
        <f>D16+$C64*$D$21+$D64*$D$20+$E64*$D$19</f>
        <v>543.53099999999995</v>
      </c>
      <c r="G64" s="32">
        <f>E16+$C64*$D$21+$D64*$D$20+$E64*$D$19</f>
        <v>-2325.1333420000001</v>
      </c>
      <c r="H64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Views>
    <sheetView workbookViewId="0">
      <selection activeCell="A3" sqref="A3"/>
    </sheetView>
  </sheetViews>
  <sheetFormatPr defaultRowHeight="14.5" x14ac:dyDescent="0.35"/>
  <sheetData>
    <row r="2" spans="1:2" x14ac:dyDescent="0.35">
      <c r="A2" t="s">
        <v>75</v>
      </c>
      <c r="B2">
        <v>-204.673218187</v>
      </c>
    </row>
    <row r="3" spans="1:2" x14ac:dyDescent="0.35">
      <c r="A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Amy Lai</cp:lastModifiedBy>
  <dcterms:created xsi:type="dcterms:W3CDTF">2017-07-04T09:47:52Z</dcterms:created>
  <dcterms:modified xsi:type="dcterms:W3CDTF">2017-07-06T10:37:08Z</dcterms:modified>
</cp:coreProperties>
</file>