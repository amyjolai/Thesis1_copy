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9775EC85-ECE2-4348-BC38-C55D3E849223}" xr6:coauthVersionLast="36" xr6:coauthVersionMax="36" xr10:uidLastSave="{00000000-0000-0000-0000-000000000000}"/>
  <bookViews>
    <workbookView xWindow="0" yWindow="0" windowWidth="23040" windowHeight="9060" firstSheet="1" activeTab="1" xr2:uid="{00000000-000D-0000-FFFF-FFFF00000000}"/>
  </bookViews>
  <sheets>
    <sheet name="Manual Monomer" sheetId="5" state="hidden" r:id="rId1"/>
    <sheet name="Monomer_rawG" sheetId="1" r:id="rId2"/>
    <sheet name="Monomer first nitration" sheetId="2" r:id="rId3"/>
    <sheet name="Monomer continuation" sheetId="7" r:id="rId4"/>
    <sheet name="Dimer" sheetId="3" r:id="rId5"/>
    <sheet name="notes" sheetId="4" state="hidden" r:id="rId6"/>
    <sheet name="David" sheetId="6" r:id="rId7"/>
    <sheet name="phase diagram" sheetId="8" r:id="rId8"/>
    <sheet name="halfs&amp;zeroing" sheetId="9" r:id="rId9"/>
    <sheet name="Sheet3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8" i="6" l="1"/>
  <c r="B76" i="6"/>
  <c r="B77" i="6"/>
  <c r="B75" i="6"/>
  <c r="Z31" i="9" l="1"/>
  <c r="Z30" i="9"/>
  <c r="Z29" i="9"/>
  <c r="Z28" i="9"/>
  <c r="Z27" i="9"/>
  <c r="Z26" i="9"/>
  <c r="Z25" i="9"/>
  <c r="Z24" i="9"/>
  <c r="Z23" i="9"/>
  <c r="Z22" i="9"/>
  <c r="Z21" i="9"/>
  <c r="Z20" i="9"/>
  <c r="B15" i="9"/>
  <c r="B14" i="9"/>
  <c r="B13" i="9"/>
  <c r="B12" i="9"/>
  <c r="B11" i="9"/>
  <c r="B10" i="9"/>
  <c r="B9" i="9"/>
  <c r="B8" i="9"/>
  <c r="B7" i="9"/>
  <c r="B6" i="9"/>
  <c r="B4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A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C20" i="9"/>
  <c r="B19" i="8" l="1"/>
  <c r="L14" i="8"/>
  <c r="K14" i="8"/>
  <c r="J14" i="8"/>
  <c r="I14" i="8"/>
  <c r="H14" i="8"/>
  <c r="G14" i="8"/>
  <c r="F14" i="8"/>
  <c r="E14" i="8"/>
  <c r="D14" i="8"/>
  <c r="C14" i="8"/>
  <c r="L13" i="8"/>
  <c r="K13" i="8"/>
  <c r="J13" i="8"/>
  <c r="I13" i="8"/>
  <c r="H13" i="8"/>
  <c r="G13" i="8"/>
  <c r="F13" i="8"/>
  <c r="E13" i="8"/>
  <c r="D13" i="8"/>
  <c r="C13" i="8"/>
  <c r="L12" i="8"/>
  <c r="K12" i="8"/>
  <c r="J12" i="8"/>
  <c r="I12" i="8"/>
  <c r="H12" i="8"/>
  <c r="G12" i="8"/>
  <c r="F12" i="8"/>
  <c r="E12" i="8"/>
  <c r="D12" i="8"/>
  <c r="C12" i="8"/>
  <c r="L11" i="8"/>
  <c r="K11" i="8"/>
  <c r="J11" i="8"/>
  <c r="I11" i="8"/>
  <c r="H11" i="8"/>
  <c r="G11" i="8"/>
  <c r="F11" i="8"/>
  <c r="E11" i="8"/>
  <c r="D11" i="8"/>
  <c r="C11" i="8"/>
  <c r="L10" i="8"/>
  <c r="K10" i="8"/>
  <c r="J10" i="8"/>
  <c r="I10" i="8"/>
  <c r="H10" i="8"/>
  <c r="G10" i="8"/>
  <c r="F10" i="8"/>
  <c r="E10" i="8"/>
  <c r="D10" i="8"/>
  <c r="C10" i="8"/>
  <c r="L9" i="8"/>
  <c r="K9" i="8"/>
  <c r="J9" i="8"/>
  <c r="I9" i="8"/>
  <c r="H9" i="8"/>
  <c r="G9" i="8"/>
  <c r="F9" i="8"/>
  <c r="E9" i="8"/>
  <c r="D9" i="8"/>
  <c r="C9" i="8"/>
  <c r="L8" i="8"/>
  <c r="K8" i="8"/>
  <c r="J8" i="8"/>
  <c r="I8" i="8"/>
  <c r="H8" i="8"/>
  <c r="G8" i="8"/>
  <c r="F8" i="8"/>
  <c r="E8" i="8"/>
  <c r="D8" i="8"/>
  <c r="C8" i="8"/>
  <c r="L7" i="8"/>
  <c r="K7" i="8"/>
  <c r="J7" i="8"/>
  <c r="I7" i="8"/>
  <c r="H7" i="8"/>
  <c r="G7" i="8"/>
  <c r="F7" i="8"/>
  <c r="E7" i="8"/>
  <c r="D7" i="8"/>
  <c r="C7" i="8"/>
  <c r="L6" i="8"/>
  <c r="K6" i="8"/>
  <c r="J6" i="8"/>
  <c r="I6" i="8"/>
  <c r="H6" i="8"/>
  <c r="G6" i="8"/>
  <c r="F6" i="8"/>
  <c r="E6" i="8"/>
  <c r="D6" i="8"/>
  <c r="C6" i="8"/>
  <c r="L5" i="8"/>
  <c r="K5" i="8"/>
  <c r="J5" i="8"/>
  <c r="I5" i="8"/>
  <c r="H5" i="8"/>
  <c r="G5" i="8"/>
  <c r="F5" i="8"/>
  <c r="E5" i="8"/>
  <c r="D5" i="8"/>
  <c r="C5" i="8"/>
  <c r="L4" i="8"/>
  <c r="K4" i="8"/>
  <c r="J4" i="8"/>
  <c r="I4" i="8"/>
  <c r="H4" i="8"/>
  <c r="G4" i="8"/>
  <c r="F4" i="8"/>
  <c r="E4" i="8"/>
  <c r="D4" i="8"/>
  <c r="C4" i="8"/>
  <c r="B14" i="8"/>
  <c r="B13" i="8"/>
  <c r="B12" i="8"/>
  <c r="B11" i="8"/>
  <c r="B10" i="8"/>
  <c r="B9" i="8"/>
  <c r="B8" i="8"/>
  <c r="B7" i="8"/>
  <c r="B6" i="8"/>
  <c r="B5" i="8"/>
  <c r="B4" i="8"/>
  <c r="AA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AA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AA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AA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AA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AA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AA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AA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AA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AA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AA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31" i="9"/>
  <c r="C30" i="9"/>
  <c r="C29" i="9"/>
  <c r="C28" i="9"/>
  <c r="C27" i="9"/>
  <c r="C26" i="9"/>
  <c r="C25" i="9"/>
  <c r="C24" i="9"/>
  <c r="C23" i="9"/>
  <c r="C22" i="9"/>
  <c r="D11" i="11"/>
  <c r="B69" i="6"/>
  <c r="B61" i="6"/>
  <c r="B67" i="6"/>
  <c r="B62" i="6"/>
  <c r="P24" i="4" l="1"/>
  <c r="O24" i="4"/>
  <c r="Q24" i="4"/>
  <c r="B60" i="6" l="1"/>
  <c r="Z45" i="11" l="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C11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Z15" i="11"/>
  <c r="Z14" i="11"/>
  <c r="Z13" i="11"/>
  <c r="Z12" i="11"/>
  <c r="Z11" i="11"/>
  <c r="Z10" i="11"/>
  <c r="Z9" i="11"/>
  <c r="Z8" i="11"/>
  <c r="Z7" i="11"/>
  <c r="Z6" i="11"/>
  <c r="Z5" i="11"/>
  <c r="B15" i="11"/>
  <c r="B14" i="11"/>
  <c r="B13" i="11"/>
  <c r="B12" i="11"/>
  <c r="B11" i="11"/>
  <c r="B10" i="11"/>
  <c r="B9" i="11"/>
  <c r="B8" i="11"/>
  <c r="B7" i="11"/>
  <c r="B6" i="11"/>
  <c r="B5" i="11"/>
  <c r="C20" i="8"/>
  <c r="B68" i="6"/>
  <c r="B54" i="9"/>
  <c r="B56" i="9"/>
  <c r="B57" i="9"/>
  <c r="B58" i="9"/>
  <c r="B59" i="9"/>
  <c r="B60" i="9"/>
  <c r="B61" i="9"/>
  <c r="B62" i="9"/>
  <c r="B63" i="9"/>
  <c r="B64" i="9"/>
  <c r="B65" i="9"/>
  <c r="B37" i="9"/>
  <c r="B39" i="9"/>
  <c r="B40" i="9"/>
  <c r="B41" i="9"/>
  <c r="B42" i="9"/>
  <c r="B43" i="9"/>
  <c r="B44" i="9"/>
  <c r="B45" i="9"/>
  <c r="B46" i="9"/>
  <c r="B47" i="9"/>
  <c r="B48" i="9"/>
  <c r="B20" i="9"/>
  <c r="B22" i="9"/>
  <c r="B23" i="9"/>
  <c r="B24" i="9"/>
  <c r="B25" i="9"/>
  <c r="B26" i="9"/>
  <c r="B27" i="9"/>
  <c r="B28" i="9"/>
  <c r="B29" i="9"/>
  <c r="B30" i="9"/>
  <c r="B31" i="9"/>
  <c r="C37" i="9" l="1"/>
  <c r="D54" i="9"/>
  <c r="E54" i="9"/>
  <c r="F54" i="9"/>
  <c r="D56" i="9"/>
  <c r="E56" i="9"/>
  <c r="F56" i="9"/>
  <c r="D57" i="9"/>
  <c r="E57" i="9"/>
  <c r="F57" i="9"/>
  <c r="D58" i="9"/>
  <c r="E58" i="9"/>
  <c r="F58" i="9"/>
  <c r="D59" i="9"/>
  <c r="E59" i="9"/>
  <c r="F59" i="9"/>
  <c r="D60" i="9"/>
  <c r="E60" i="9"/>
  <c r="F60" i="9"/>
  <c r="D61" i="9"/>
  <c r="E61" i="9"/>
  <c r="F61" i="9"/>
  <c r="D62" i="9"/>
  <c r="E62" i="9"/>
  <c r="F62" i="9"/>
  <c r="D63" i="9"/>
  <c r="E63" i="9"/>
  <c r="F63" i="9"/>
  <c r="D64" i="9"/>
  <c r="E64" i="9"/>
  <c r="F64" i="9"/>
  <c r="D65" i="9"/>
  <c r="E65" i="9"/>
  <c r="F65" i="9"/>
  <c r="C56" i="9"/>
  <c r="C57" i="9"/>
  <c r="C58" i="9"/>
  <c r="C59" i="9"/>
  <c r="C60" i="9"/>
  <c r="C61" i="9"/>
  <c r="C62" i="9"/>
  <c r="C63" i="9"/>
  <c r="C64" i="9"/>
  <c r="C65" i="9"/>
  <c r="D37" i="9"/>
  <c r="E37" i="9"/>
  <c r="F37" i="9"/>
  <c r="D39" i="9"/>
  <c r="E39" i="9"/>
  <c r="F39" i="9"/>
  <c r="D40" i="9"/>
  <c r="E40" i="9"/>
  <c r="F40" i="9"/>
  <c r="D41" i="9"/>
  <c r="E41" i="9"/>
  <c r="F41" i="9"/>
  <c r="D42" i="9"/>
  <c r="E42" i="9"/>
  <c r="F42" i="9"/>
  <c r="D43" i="9"/>
  <c r="E43" i="9"/>
  <c r="F43" i="9"/>
  <c r="D44" i="9"/>
  <c r="E44" i="9"/>
  <c r="F44" i="9"/>
  <c r="D45" i="9"/>
  <c r="E45" i="9"/>
  <c r="F45" i="9"/>
  <c r="D46" i="9"/>
  <c r="E46" i="9"/>
  <c r="F46" i="9"/>
  <c r="D47" i="9"/>
  <c r="E47" i="9"/>
  <c r="F47" i="9"/>
  <c r="D48" i="9"/>
  <c r="E48" i="9"/>
  <c r="F48" i="9"/>
  <c r="C39" i="9"/>
  <c r="C40" i="9"/>
  <c r="C41" i="9"/>
  <c r="C42" i="9"/>
  <c r="C43" i="9"/>
  <c r="C44" i="9"/>
  <c r="C45" i="9"/>
  <c r="C46" i="9"/>
  <c r="C47" i="9"/>
  <c r="C48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C54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Z57" i="9"/>
  <c r="Z56" i="9"/>
  <c r="Z54" i="9"/>
  <c r="Q52" i="8"/>
  <c r="F52" i="8"/>
  <c r="N52" i="8"/>
  <c r="N53" i="8" s="1"/>
  <c r="N54" i="8" s="1"/>
  <c r="N55" i="8" s="1"/>
  <c r="C52" i="8"/>
  <c r="C61" i="8"/>
  <c r="D61" i="8"/>
  <c r="E61" i="8"/>
  <c r="F61" i="8"/>
  <c r="G61" i="8"/>
  <c r="H61" i="8"/>
  <c r="I61" i="8"/>
  <c r="J61" i="8"/>
  <c r="K61" i="8"/>
  <c r="L61" i="8"/>
  <c r="C60" i="8"/>
  <c r="D60" i="8"/>
  <c r="E60" i="8"/>
  <c r="F60" i="8"/>
  <c r="G60" i="8"/>
  <c r="H60" i="8"/>
  <c r="I60" i="8"/>
  <c r="J60" i="8"/>
  <c r="K60" i="8"/>
  <c r="L60" i="8"/>
  <c r="C59" i="8"/>
  <c r="D59" i="8"/>
  <c r="E59" i="8"/>
  <c r="F59" i="8"/>
  <c r="G59" i="8"/>
  <c r="H59" i="8"/>
  <c r="I59" i="8"/>
  <c r="J59" i="8"/>
  <c r="K59" i="8"/>
  <c r="L59" i="8"/>
  <c r="C58" i="8"/>
  <c r="D58" i="8"/>
  <c r="E58" i="8"/>
  <c r="F58" i="8"/>
  <c r="G58" i="8"/>
  <c r="H58" i="8"/>
  <c r="I58" i="8"/>
  <c r="J58" i="8"/>
  <c r="K58" i="8"/>
  <c r="L58" i="8"/>
  <c r="C57" i="8"/>
  <c r="D57" i="8"/>
  <c r="E57" i="8"/>
  <c r="F57" i="8"/>
  <c r="G57" i="8"/>
  <c r="H57" i="8"/>
  <c r="I57" i="8"/>
  <c r="J57" i="8"/>
  <c r="K57" i="8"/>
  <c r="L57" i="8"/>
  <c r="C56" i="8"/>
  <c r="D56" i="8"/>
  <c r="E56" i="8"/>
  <c r="F56" i="8"/>
  <c r="G56" i="8"/>
  <c r="H56" i="8"/>
  <c r="I56" i="8"/>
  <c r="J56" i="8"/>
  <c r="K56" i="8"/>
  <c r="L56" i="8"/>
  <c r="C55" i="8"/>
  <c r="D55" i="8"/>
  <c r="E55" i="8"/>
  <c r="F55" i="8"/>
  <c r="G55" i="8"/>
  <c r="H55" i="8"/>
  <c r="I55" i="8"/>
  <c r="J55" i="8"/>
  <c r="K55" i="8"/>
  <c r="L55" i="8"/>
  <c r="C54" i="8"/>
  <c r="D54" i="8"/>
  <c r="E54" i="8"/>
  <c r="F54" i="8"/>
  <c r="G54" i="8"/>
  <c r="H54" i="8"/>
  <c r="I54" i="8"/>
  <c r="J54" i="8"/>
  <c r="K54" i="8"/>
  <c r="L54" i="8"/>
  <c r="C53" i="8"/>
  <c r="D53" i="8"/>
  <c r="E53" i="8"/>
  <c r="F53" i="8"/>
  <c r="G53" i="8"/>
  <c r="H53" i="8"/>
  <c r="I53" i="8"/>
  <c r="J53" i="8"/>
  <c r="K53" i="8"/>
  <c r="L53" i="8"/>
  <c r="B53" i="8"/>
  <c r="B54" i="8"/>
  <c r="B55" i="8"/>
  <c r="B56" i="8"/>
  <c r="B57" i="8"/>
  <c r="B58" i="8"/>
  <c r="B59" i="8"/>
  <c r="B60" i="8"/>
  <c r="B61" i="8"/>
  <c r="D52" i="8"/>
  <c r="E52" i="8"/>
  <c r="G52" i="8"/>
  <c r="H52" i="8"/>
  <c r="I52" i="8"/>
  <c r="J52" i="8"/>
  <c r="K52" i="8"/>
  <c r="L52" i="8"/>
  <c r="B52" i="8"/>
  <c r="L51" i="8" l="1"/>
  <c r="K51" i="8"/>
  <c r="J51" i="8"/>
  <c r="I51" i="8"/>
  <c r="H51" i="8"/>
  <c r="G51" i="8"/>
  <c r="F51" i="8"/>
  <c r="E51" i="8"/>
  <c r="D51" i="8"/>
  <c r="C51" i="8"/>
  <c r="B51" i="8"/>
  <c r="L36" i="8" l="1"/>
  <c r="L37" i="8"/>
  <c r="L38" i="8"/>
  <c r="L39" i="8"/>
  <c r="L40" i="8"/>
  <c r="L41" i="8"/>
  <c r="L42" i="8"/>
  <c r="L43" i="8"/>
  <c r="L44" i="8"/>
  <c r="L45" i="8"/>
  <c r="L35" i="8"/>
  <c r="K36" i="8"/>
  <c r="K37" i="8"/>
  <c r="K38" i="8"/>
  <c r="K39" i="8"/>
  <c r="K40" i="8"/>
  <c r="K41" i="8"/>
  <c r="K42" i="8"/>
  <c r="K43" i="8"/>
  <c r="K44" i="8"/>
  <c r="K45" i="8"/>
  <c r="K35" i="8"/>
  <c r="J36" i="8"/>
  <c r="J37" i="8"/>
  <c r="J38" i="8"/>
  <c r="J39" i="8"/>
  <c r="J40" i="8"/>
  <c r="J41" i="8"/>
  <c r="J42" i="8"/>
  <c r="J43" i="8"/>
  <c r="J44" i="8"/>
  <c r="J45" i="8"/>
  <c r="J35" i="8"/>
  <c r="I36" i="8"/>
  <c r="I37" i="8"/>
  <c r="I38" i="8"/>
  <c r="I39" i="8"/>
  <c r="I40" i="8"/>
  <c r="I41" i="8"/>
  <c r="I42" i="8"/>
  <c r="I43" i="8"/>
  <c r="I44" i="8"/>
  <c r="I45" i="8"/>
  <c r="I35" i="8"/>
  <c r="G36" i="8"/>
  <c r="G37" i="8"/>
  <c r="G38" i="8"/>
  <c r="G39" i="8"/>
  <c r="G40" i="8"/>
  <c r="G41" i="8"/>
  <c r="G42" i="8"/>
  <c r="G43" i="8"/>
  <c r="G44" i="8"/>
  <c r="G45" i="8"/>
  <c r="G35" i="8"/>
  <c r="H36" i="8"/>
  <c r="H37" i="8"/>
  <c r="H38" i="8"/>
  <c r="H39" i="8"/>
  <c r="H40" i="8"/>
  <c r="H41" i="8"/>
  <c r="H42" i="8"/>
  <c r="H43" i="8"/>
  <c r="H44" i="8"/>
  <c r="H45" i="8"/>
  <c r="H35" i="8"/>
  <c r="F36" i="8"/>
  <c r="F37" i="8"/>
  <c r="F38" i="8"/>
  <c r="F39" i="8"/>
  <c r="F40" i="8"/>
  <c r="F41" i="8"/>
  <c r="F42" i="8"/>
  <c r="F43" i="8"/>
  <c r="F44" i="8"/>
  <c r="F45" i="8"/>
  <c r="F35" i="8"/>
  <c r="E36" i="8"/>
  <c r="E37" i="8"/>
  <c r="E38" i="8"/>
  <c r="E39" i="8"/>
  <c r="E40" i="8"/>
  <c r="E41" i="8"/>
  <c r="E42" i="8"/>
  <c r="E43" i="8"/>
  <c r="E44" i="8"/>
  <c r="E45" i="8"/>
  <c r="E35" i="8"/>
  <c r="D36" i="8"/>
  <c r="D37" i="8"/>
  <c r="D38" i="8"/>
  <c r="D39" i="8"/>
  <c r="D40" i="8"/>
  <c r="D41" i="8"/>
  <c r="D42" i="8"/>
  <c r="D43" i="8"/>
  <c r="D44" i="8"/>
  <c r="D45" i="8"/>
  <c r="D35" i="8"/>
  <c r="C36" i="8"/>
  <c r="C37" i="8"/>
  <c r="C38" i="8"/>
  <c r="C39" i="8"/>
  <c r="C40" i="8"/>
  <c r="C41" i="8"/>
  <c r="C42" i="8"/>
  <c r="C43" i="8"/>
  <c r="C44" i="8"/>
  <c r="C45" i="8"/>
  <c r="C35" i="8"/>
  <c r="B36" i="8"/>
  <c r="B37" i="8"/>
  <c r="B38" i="8"/>
  <c r="B39" i="8"/>
  <c r="B40" i="8"/>
  <c r="B41" i="8"/>
  <c r="B42" i="8"/>
  <c r="B43" i="8"/>
  <c r="B44" i="8"/>
  <c r="B45" i="8"/>
  <c r="B35" i="8"/>
  <c r="B29" i="8"/>
  <c r="C29" i="8"/>
  <c r="D29" i="8"/>
  <c r="E29" i="8"/>
  <c r="F29" i="8"/>
  <c r="G29" i="8"/>
  <c r="H29" i="8"/>
  <c r="I29" i="8"/>
  <c r="J29" i="8"/>
  <c r="K29" i="8"/>
  <c r="L29" i="8"/>
  <c r="B28" i="8"/>
  <c r="C28" i="8"/>
  <c r="D28" i="8"/>
  <c r="E28" i="8"/>
  <c r="F28" i="8"/>
  <c r="G28" i="8"/>
  <c r="H28" i="8"/>
  <c r="I28" i="8"/>
  <c r="J28" i="8"/>
  <c r="K28" i="8"/>
  <c r="L28" i="8"/>
  <c r="B27" i="8"/>
  <c r="C27" i="8"/>
  <c r="D27" i="8"/>
  <c r="E27" i="8"/>
  <c r="F27" i="8"/>
  <c r="G27" i="8"/>
  <c r="H27" i="8"/>
  <c r="I27" i="8"/>
  <c r="J27" i="8"/>
  <c r="K27" i="8"/>
  <c r="L27" i="8"/>
  <c r="B26" i="8"/>
  <c r="C26" i="8"/>
  <c r="D26" i="8"/>
  <c r="E26" i="8"/>
  <c r="F26" i="8"/>
  <c r="G26" i="8"/>
  <c r="H26" i="8"/>
  <c r="I26" i="8"/>
  <c r="J26" i="8"/>
  <c r="K26" i="8"/>
  <c r="L26" i="8"/>
  <c r="L20" i="8"/>
  <c r="L21" i="8"/>
  <c r="L22" i="8"/>
  <c r="L23" i="8"/>
  <c r="L24" i="8"/>
  <c r="L25" i="8"/>
  <c r="L19" i="8"/>
  <c r="K20" i="8"/>
  <c r="K21" i="8"/>
  <c r="K22" i="8"/>
  <c r="K23" i="8"/>
  <c r="K24" i="8"/>
  <c r="K25" i="8"/>
  <c r="K19" i="8"/>
  <c r="J20" i="8"/>
  <c r="J21" i="8"/>
  <c r="J22" i="8"/>
  <c r="J23" i="8"/>
  <c r="J24" i="8"/>
  <c r="J25" i="8"/>
  <c r="J19" i="8"/>
  <c r="I20" i="8"/>
  <c r="I21" i="8"/>
  <c r="I22" i="8"/>
  <c r="I23" i="8"/>
  <c r="I24" i="8"/>
  <c r="I25" i="8"/>
  <c r="I19" i="8"/>
  <c r="H20" i="8"/>
  <c r="H21" i="8"/>
  <c r="H22" i="8"/>
  <c r="H23" i="8"/>
  <c r="H24" i="8"/>
  <c r="H25" i="8"/>
  <c r="H19" i="8"/>
  <c r="G20" i="8"/>
  <c r="G21" i="8"/>
  <c r="G22" i="8"/>
  <c r="G23" i="8"/>
  <c r="G24" i="8"/>
  <c r="G25" i="8"/>
  <c r="G19" i="8"/>
  <c r="F20" i="8"/>
  <c r="F21" i="8"/>
  <c r="F22" i="8"/>
  <c r="F23" i="8"/>
  <c r="F24" i="8"/>
  <c r="F25" i="8"/>
  <c r="F19" i="8"/>
  <c r="E20" i="8"/>
  <c r="E21" i="8"/>
  <c r="E22" i="8"/>
  <c r="E23" i="8"/>
  <c r="E24" i="8"/>
  <c r="E25" i="8"/>
  <c r="E19" i="8"/>
  <c r="D20" i="8"/>
  <c r="D21" i="8"/>
  <c r="D22" i="8"/>
  <c r="D23" i="8"/>
  <c r="D24" i="8"/>
  <c r="D25" i="8"/>
  <c r="D19" i="8"/>
  <c r="C21" i="8"/>
  <c r="C22" i="8"/>
  <c r="C23" i="8"/>
  <c r="C24" i="8"/>
  <c r="C25" i="8"/>
  <c r="C19" i="8"/>
  <c r="B20" i="8"/>
  <c r="B21" i="8"/>
  <c r="B22" i="8"/>
  <c r="B23" i="8"/>
  <c r="B24" i="8"/>
  <c r="B25" i="8"/>
  <c r="B63" i="6" l="1"/>
  <c r="D13" i="6" l="1"/>
  <c r="D9" i="6"/>
  <c r="G28" i="7" l="1"/>
  <c r="G27" i="7"/>
  <c r="G22" i="7"/>
  <c r="G21" i="7"/>
  <c r="G13" i="7" l="1"/>
  <c r="G14" i="7"/>
  <c r="Q18" i="7"/>
  <c r="Q17" i="7"/>
  <c r="S19" i="7" s="1"/>
  <c r="Q13" i="7"/>
  <c r="Q12" i="7"/>
  <c r="S14" i="7" s="1"/>
  <c r="Q8" i="7"/>
  <c r="Q7" i="7"/>
  <c r="S9" i="7" s="1"/>
  <c r="G7" i="7"/>
  <c r="K8" i="7"/>
  <c r="K7" i="7"/>
  <c r="U13" i="7" s="1"/>
  <c r="K14" i="7"/>
  <c r="K13" i="7"/>
  <c r="U15" i="7" l="1"/>
  <c r="Y15" i="7" s="1"/>
  <c r="Q19" i="7"/>
  <c r="Q20" i="7" s="1"/>
  <c r="Q14" i="7"/>
  <c r="Q15" i="7" s="1"/>
  <c r="Q9" i="7"/>
  <c r="Q10" i="7" s="1"/>
  <c r="K15" i="7"/>
  <c r="K16" i="7" s="1"/>
  <c r="K9" i="7"/>
  <c r="K10" i="7" s="1"/>
  <c r="G29" i="7"/>
  <c r="G30" i="7" s="1"/>
  <c r="G23" i="7"/>
  <c r="G24" i="7" s="1"/>
  <c r="G15" i="7"/>
  <c r="G16" i="7" s="1"/>
  <c r="G8" i="7"/>
  <c r="G9" i="7" l="1"/>
  <c r="G10" i="7" s="1"/>
  <c r="D4" i="3"/>
  <c r="E4" i="3"/>
  <c r="F4" i="3"/>
  <c r="G4" i="3"/>
  <c r="C4" i="3"/>
  <c r="K7" i="2" l="1"/>
  <c r="K6" i="2"/>
  <c r="Z8" i="2" s="1"/>
  <c r="F49" i="3" l="1"/>
  <c r="F24" i="3"/>
  <c r="I25" i="5"/>
  <c r="C21" i="5"/>
  <c r="F34" i="3"/>
  <c r="M14" i="3"/>
  <c r="N18" i="3"/>
  <c r="M18" i="3"/>
  <c r="L18" i="3"/>
  <c r="K18" i="3"/>
  <c r="J18" i="3"/>
  <c r="N17" i="3"/>
  <c r="M17" i="3"/>
  <c r="L17" i="3"/>
  <c r="K17" i="3"/>
  <c r="J17" i="3"/>
  <c r="N15" i="3"/>
  <c r="M15" i="3"/>
  <c r="L15" i="3"/>
  <c r="K15" i="3"/>
  <c r="J15" i="3"/>
  <c r="N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K10" i="3"/>
  <c r="L10" i="3"/>
  <c r="M10" i="3"/>
  <c r="N10" i="3"/>
  <c r="K9" i="3"/>
  <c r="L9" i="3"/>
  <c r="M9" i="3"/>
  <c r="N9" i="3"/>
  <c r="M8" i="3"/>
  <c r="K8" i="3"/>
  <c r="L8" i="3"/>
  <c r="N8" i="3"/>
  <c r="J10" i="3"/>
  <c r="J9" i="3"/>
  <c r="J8" i="3"/>
  <c r="K7" i="3"/>
  <c r="L7" i="3"/>
  <c r="M7" i="3"/>
  <c r="N7" i="3"/>
  <c r="J7" i="3"/>
  <c r="D49" i="3"/>
  <c r="E49" i="3"/>
  <c r="G49" i="3"/>
  <c r="C49" i="3"/>
  <c r="B48" i="3"/>
  <c r="G34" i="3"/>
  <c r="D44" i="3"/>
  <c r="E44" i="3"/>
  <c r="F44" i="3"/>
  <c r="G44" i="3"/>
  <c r="C44" i="3"/>
  <c r="B43" i="3"/>
  <c r="G39" i="3"/>
  <c r="D39" i="3"/>
  <c r="E39" i="3"/>
  <c r="F39" i="3"/>
  <c r="C39" i="3"/>
  <c r="B38" i="3"/>
  <c r="F29" i="3"/>
  <c r="D34" i="3"/>
  <c r="E34" i="3"/>
  <c r="C34" i="3"/>
  <c r="B33" i="3"/>
  <c r="D29" i="3"/>
  <c r="E29" i="3"/>
  <c r="G29" i="3"/>
  <c r="C29" i="3"/>
  <c r="B28" i="3"/>
  <c r="B22" i="3"/>
  <c r="D23" i="3"/>
  <c r="E23" i="3"/>
  <c r="F23" i="3"/>
  <c r="G23" i="3"/>
  <c r="C23" i="3"/>
  <c r="G24" i="3"/>
  <c r="D24" i="3"/>
  <c r="E24" i="3"/>
  <c r="C24" i="3"/>
  <c r="D35" i="3" l="1"/>
  <c r="E35" i="3"/>
  <c r="G30" i="3"/>
  <c r="D25" i="3"/>
  <c r="F25" i="3"/>
  <c r="E25" i="3"/>
  <c r="C30" i="3"/>
  <c r="E50" i="3"/>
  <c r="E45" i="3"/>
  <c r="D45" i="3"/>
  <c r="C35" i="3"/>
  <c r="D40" i="3"/>
  <c r="G25" i="3"/>
  <c r="E30" i="3"/>
  <c r="G40" i="3"/>
  <c r="D30" i="3"/>
  <c r="C50" i="3"/>
  <c r="C25" i="3"/>
  <c r="G50" i="3"/>
  <c r="G35" i="3"/>
  <c r="G45" i="3"/>
  <c r="F40" i="3"/>
  <c r="C40" i="3"/>
  <c r="C45" i="3"/>
  <c r="F50" i="3"/>
  <c r="F30" i="3"/>
  <c r="D50" i="3"/>
  <c r="F35" i="3"/>
  <c r="E40" i="3"/>
  <c r="F45" i="3"/>
  <c r="D13" i="4"/>
  <c r="E51" i="3" l="1"/>
  <c r="E52" i="3"/>
  <c r="E26" i="3"/>
  <c r="E27" i="3"/>
  <c r="E41" i="3"/>
  <c r="E42" i="3"/>
  <c r="E37" i="3"/>
  <c r="E36" i="3"/>
  <c r="E31" i="3"/>
  <c r="E32" i="3"/>
  <c r="E47" i="3"/>
  <c r="E46" i="3"/>
  <c r="D20" i="2"/>
  <c r="E20" i="2"/>
  <c r="C20" i="2"/>
  <c r="L14" i="2" l="1"/>
  <c r="M14" i="2"/>
  <c r="N14" i="2"/>
  <c r="O14" i="2"/>
  <c r="L21" i="2"/>
  <c r="M21" i="2"/>
  <c r="N21" i="2"/>
  <c r="O21" i="2"/>
  <c r="O22" i="2" s="1"/>
  <c r="K21" i="2"/>
  <c r="O20" i="2"/>
  <c r="N20" i="2"/>
  <c r="M20" i="2"/>
  <c r="L20" i="2"/>
  <c r="L22" i="2" s="1"/>
  <c r="K20" i="2"/>
  <c r="K14" i="2"/>
  <c r="O13" i="2"/>
  <c r="O15" i="2" s="1"/>
  <c r="N13" i="2"/>
  <c r="M13" i="2"/>
  <c r="L13" i="2"/>
  <c r="K13" i="2"/>
  <c r="L6" i="2"/>
  <c r="L8" i="2" s="1"/>
  <c r="M6" i="2"/>
  <c r="M8" i="2" s="1"/>
  <c r="N6" i="2"/>
  <c r="O6" i="2"/>
  <c r="L7" i="2"/>
  <c r="M7" i="2"/>
  <c r="N7" i="2"/>
  <c r="O7" i="2"/>
  <c r="K8" i="2"/>
  <c r="M9" i="2" l="1"/>
  <c r="M10" i="2"/>
  <c r="M22" i="2"/>
  <c r="O8" i="2"/>
  <c r="N8" i="2"/>
  <c r="N22" i="2"/>
  <c r="M15" i="2"/>
  <c r="N15" i="2"/>
  <c r="K15" i="2"/>
  <c r="K22" i="2"/>
  <c r="L15" i="2"/>
  <c r="M23" i="2" l="1"/>
  <c r="M24" i="2"/>
  <c r="M16" i="2"/>
  <c r="M17" i="2"/>
</calcChain>
</file>

<file path=xl/sharedStrings.xml><?xml version="1.0" encoding="utf-8"?>
<sst xmlns="http://schemas.openxmlformats.org/spreadsheetml/2006/main" count="401" uniqueCount="216">
  <si>
    <t>For the raw H and S, will need the thermo.pl output</t>
  </si>
  <si>
    <t>C2</t>
  </si>
  <si>
    <t>C3</t>
  </si>
  <si>
    <t>C6</t>
  </si>
  <si>
    <t>Diff temps:</t>
  </si>
  <si>
    <t>K</t>
  </si>
  <si>
    <t>Cellulose</t>
  </si>
  <si>
    <t>NO2+</t>
  </si>
  <si>
    <t>H2O</t>
  </si>
  <si>
    <t>Taking into account the reactants and prods:</t>
  </si>
  <si>
    <t>H3O+</t>
  </si>
  <si>
    <t>Reactants</t>
  </si>
  <si>
    <t>Products</t>
  </si>
  <si>
    <t>Delta G</t>
  </si>
  <si>
    <t>Nitration at C2</t>
  </si>
  <si>
    <t>Nitration at C3</t>
  </si>
  <si>
    <t>Nitration at C6</t>
  </si>
  <si>
    <t>For the different plotted temps, just need free energies</t>
  </si>
  <si>
    <t>This goes against literature. I also suspect this is due to favouable interaction with the capping groups, biasing C2 and C3. (See Mech_monomers/NC3-mid_wb97XD_1.png)</t>
  </si>
  <si>
    <t>C2 supposed to be most stable, then C6 then C3 in the dimer</t>
  </si>
  <si>
    <t>C3 C2 C6 for the monomer - which is the opposite here</t>
  </si>
  <si>
    <t>ΔG</t>
  </si>
  <si>
    <t>298K</t>
  </si>
  <si>
    <t>Dimer</t>
  </si>
  <si>
    <t>NC0_0</t>
  </si>
  <si>
    <t>0_2</t>
  </si>
  <si>
    <t>0_3</t>
  </si>
  <si>
    <t>0_6</t>
  </si>
  <si>
    <t>2_0</t>
  </si>
  <si>
    <t>3_0</t>
  </si>
  <si>
    <t>6_0</t>
  </si>
  <si>
    <t>NC</t>
  </si>
  <si>
    <t>Sum of G:</t>
  </si>
  <si>
    <t>Change in G with temp:</t>
  </si>
  <si>
    <t xml:space="preserve"> Job cpu time:       0 days  0 hours 57 minutes 48.6 seconds.</t>
  </si>
  <si>
    <t>57 minutes 48.6 seconds</t>
  </si>
  <si>
    <t xml:space="preserve"> Job cpu time:       0 days  0 hours 57 minutes  0.0 seconds.</t>
  </si>
  <si>
    <t xml:space="preserve"> 57 minutes  0.0 seconds</t>
  </si>
  <si>
    <t xml:space="preserve"> Job cpu time:       0 days 10 hours 46 minutes 57.7 seconds.</t>
  </si>
  <si>
    <t xml:space="preserve"> 46 minutes 57.7 seconds</t>
  </si>
  <si>
    <t xml:space="preserve"> Job cpu time:       0 days 19 hours 38 minutes 40.1 seconds.</t>
  </si>
  <si>
    <t>38 minutes 40.1 seconds</t>
  </si>
  <si>
    <t xml:space="preserve"> Job cpu time:       1 days  0 hours 51 minutes 45.0 seconds.</t>
  </si>
  <si>
    <t>51 minutes 45.0 seconds</t>
  </si>
  <si>
    <t xml:space="preserve"> Job cpu time:       7 days  1 hours 22 minutes 47.1 seconds.</t>
  </si>
  <si>
    <t>22 minutes 47.1 seconds</t>
  </si>
  <si>
    <t>days</t>
  </si>
  <si>
    <t>hours</t>
  </si>
  <si>
    <t>minutes</t>
  </si>
  <si>
    <t>seconds</t>
  </si>
  <si>
    <t>mins:</t>
  </si>
  <si>
    <t>total min:</t>
  </si>
  <si>
    <t>in real time (/20 cores):</t>
  </si>
  <si>
    <t>in hrs:</t>
  </si>
  <si>
    <t>Job time for NC6_0.out 163K</t>
  </si>
  <si>
    <t>#Similar times for 433K</t>
  </si>
  <si>
    <t>cpu hrs:</t>
  </si>
  <si>
    <t>Free Energies</t>
  </si>
  <si>
    <t xml:space="preserve">Nitration at </t>
  </si>
  <si>
    <t>Reacts</t>
  </si>
  <si>
    <t>Prods</t>
  </si>
  <si>
    <t>check this one</t>
  </si>
  <si>
    <t>Reason for NC6_0 difference:</t>
  </si>
  <si>
    <t>200K</t>
  </si>
  <si>
    <t xml:space="preserve">300K </t>
  </si>
  <si>
    <t xml:space="preserve">slightly more twist in the 200K </t>
  </si>
  <si>
    <t>More planarity in the 300K - this is because I optimised it from scratch, due to .chk / technical issues</t>
  </si>
  <si>
    <t>[Will try optimising to TIGHT and see if it drops to the 200K geometry]</t>
  </si>
  <si>
    <t>Normalise</t>
  </si>
  <si>
    <t>NC0_6 and NO2+ seem to be iffy at 300K</t>
  </si>
  <si>
    <t>&lt;- Copy paste error =_=</t>
  </si>
  <si>
    <t xml:space="preserve">Zoom in </t>
  </si>
  <si>
    <t>T (K)</t>
  </si>
  <si>
    <t xml:space="preserve">   S (J/mol.K)</t>
  </si>
  <si>
    <t xml:space="preserve">    Cp (J/mol.K)</t>
  </si>
  <si>
    <t xml:space="preserve">    ddH (kJ/mol)</t>
  </si>
  <si>
    <t xml:space="preserve"> Zero-point correction=                           0.257509 (Hartree/Particle)</t>
  </si>
  <si>
    <t>kj/mol</t>
  </si>
  <si>
    <t>Well, it did fall into the same geometry, but the energy is still not much different!</t>
  </si>
  <si>
    <r>
      <t>ddH</t>
    </r>
    <r>
      <rPr>
        <sz val="13"/>
        <color rgb="FF000000"/>
        <rFont val="Arial"/>
        <family val="2"/>
      </rPr>
      <t> = H(T) - H(0) (enthalpy content, in kJ mol-1). With T in Kelvin.</t>
    </r>
  </si>
  <si>
    <t>(according to Shukla)</t>
  </si>
  <si>
    <t>re-run NC6_0 and NC2_0</t>
  </si>
  <si>
    <t>from trouble_NC6_0</t>
  </si>
  <si>
    <t>kCal/mol</t>
  </si>
  <si>
    <t>corr</t>
  </si>
  <si>
    <t>from hi-NC2_0</t>
  </si>
  <si>
    <t>from first iter. Gone wrong</t>
  </si>
  <si>
    <t>Use this as basis for choice of nitration site for mechc stuff</t>
  </si>
  <si>
    <t>diff nitration levels, and uneven distr nitration</t>
  </si>
  <si>
    <t>finish this off for denitration sequence</t>
  </si>
  <si>
    <t>Irrelevant?</t>
  </si>
  <si>
    <t>C</t>
  </si>
  <si>
    <t xml:space="preserve"> Autoignition is at 170C</t>
  </si>
  <si>
    <t>Kcal/mol for reference</t>
  </si>
  <si>
    <t>cellulose monomer</t>
  </si>
  <si>
    <t>questions - David</t>
  </si>
  <si>
    <t>answers - Amy</t>
  </si>
  <si>
    <t>1 nitro group C2 cellulose monomer</t>
  </si>
  <si>
    <t>1 nitro group C3 cellulose monomer</t>
  </si>
  <si>
    <t>1 nitro group C6 cellulose monomer</t>
  </si>
  <si>
    <t>2 nitro groups C2 C3 cellulose monomer</t>
  </si>
  <si>
    <t>2 nitro groups C2 C6 cellulose monomer</t>
  </si>
  <si>
    <t>2 nitro groups C3 C6 cellulose monomer</t>
  </si>
  <si>
    <t>3 nitro groups C2 C3 C6 cellulose monomer</t>
  </si>
  <si>
    <t>Is this the released product?</t>
  </si>
  <si>
    <t>If this is the reaction, every time that you remove HNO2, the cellulose C where the NO2 was bound becomes C=O instead of HC-OH. Is this right?</t>
  </si>
  <si>
    <t>During the cellulose nitration are all reactants in solution?</t>
  </si>
  <si>
    <t>Nitration</t>
  </si>
  <si>
    <t>Denitration (the reverse of the above)</t>
  </si>
  <si>
    <t xml:space="preserve">but have now found that denitration is unlikely to proceed this way. </t>
  </si>
  <si>
    <t>Energy /H</t>
  </si>
  <si>
    <t>C2_3</t>
  </si>
  <si>
    <t>C2_6</t>
  </si>
  <si>
    <t>C3_6</t>
  </si>
  <si>
    <t>C2_3_6</t>
  </si>
  <si>
    <t>Second step nitration</t>
  </si>
  <si>
    <t xml:space="preserve">The mechanism here is a hypothetical reaction I tried to look at earlier, </t>
  </si>
  <si>
    <t>However, it may be that these same products are formed through subsequent reactions, rather than as a direct product of denitration.</t>
  </si>
  <si>
    <t>NOTE: The energies here are not for the energy of nitration, these are just the Free Energies following a geometry optmisation - is this what was required?</t>
  </si>
  <si>
    <t>+</t>
  </si>
  <si>
    <t>→</t>
  </si>
  <si>
    <t>NC1</t>
  </si>
  <si>
    <t>NC2</t>
  </si>
  <si>
    <t>Starting from C2</t>
  </si>
  <si>
    <t>Starting from C3</t>
  </si>
  <si>
    <t>Starting from C6</t>
  </si>
  <si>
    <t>Final Step nitration</t>
  </si>
  <si>
    <t>From C2_3</t>
  </si>
  <si>
    <t>From C2_6</t>
  </si>
  <si>
    <t>From C3_6</t>
  </si>
  <si>
    <t>Nitration Sequence</t>
  </si>
  <si>
    <t>For plotting:</t>
  </si>
  <si>
    <t>ΔG /H</t>
  </si>
  <si>
    <t>Nitration Site</t>
  </si>
  <si>
    <t>From C2</t>
  </si>
  <si>
    <t>From C3</t>
  </si>
  <si>
    <t>From C6</t>
  </si>
  <si>
    <t>(Based on lowest ΔG of nitration for cellulose monomer at 298K)</t>
  </si>
  <si>
    <t>HNO2 is likely generated by later steps.</t>
  </si>
  <si>
    <t xml:space="preserve">[See mechanisms at bottom of sheet.] </t>
  </si>
  <si>
    <t xml:space="preserve">No, I only considered either nitration by NO2+, or denitration, which is the reverse of this reaction and NO2+ is released. </t>
  </si>
  <si>
    <t>yes, but all these energies were calculated in vacuum</t>
  </si>
  <si>
    <t>Lowest ΔG of nitraiton</t>
  </si>
  <si>
    <t>for the first level of  nitration</t>
  </si>
  <si>
    <t>If denitration:</t>
  </si>
  <si>
    <t>First Step</t>
  </si>
  <si>
    <t>Second</t>
  </si>
  <si>
    <t>From initial C3 removal</t>
  </si>
  <si>
    <t xml:space="preserve">(removal of 1st nitrate) </t>
  </si>
  <si>
    <t>Remove C3</t>
  </si>
  <si>
    <t>Remove C6</t>
  </si>
  <si>
    <t>Remove C2</t>
  </si>
  <si>
    <t>to give C6 only</t>
  </si>
  <si>
    <t>to give C2 only</t>
  </si>
  <si>
    <t>Thus denitration sequence:</t>
  </si>
  <si>
    <t>C3 -&gt; C6 -&gt; C2</t>
  </si>
  <si>
    <t>BUT very close</t>
  </si>
  <si>
    <t>Difference =</t>
  </si>
  <si>
    <t>H</t>
  </si>
  <si>
    <t>eV</t>
  </si>
  <si>
    <t>kJ /mol</t>
  </si>
  <si>
    <t>Difference can be attributed to different method :/</t>
  </si>
  <si>
    <t>(Based on lowest ΔG of de-nitration for fully nitrated NC monomer at 298K)</t>
  </si>
  <si>
    <t xml:space="preserve">Disagrees with Shukla's monomer, </t>
  </si>
  <si>
    <t>but agrees with his dimer!</t>
  </si>
  <si>
    <t>At 298, C3 is most stable, thus preferentially nitrated, then C2 then C6.</t>
  </si>
  <si>
    <t>This goes well with my studies, since C2 is left on last</t>
  </si>
  <si>
    <t>Energy /Hartress - nitration</t>
  </si>
  <si>
    <t>Energy /Hartress - denitration</t>
  </si>
  <si>
    <t>HNO3</t>
  </si>
  <si>
    <t>Γ_N</t>
  </si>
  <si>
    <t>ΔE (kJ/mol)</t>
  </si>
  <si>
    <t>TΔS (kJ/mol)</t>
  </si>
  <si>
    <t>ln((x*(Γ_N*x)^(Γ_N))/((c-x)*(a-Γ_N*x)^(Γ_N)))</t>
  </si>
  <si>
    <t>=ln((x*(Γ_N*x)^(Γ_N))/((c-x)*(a-Γ_N*x)^(Γ_N)))</t>
  </si>
  <si>
    <t>Φ (kJ/mol)</t>
  </si>
  <si>
    <t>=$b$60+8.314e-3*298*ln((x*($a$60*x)^($a$60))/((c-x)*(a-$a$60*x)^($a$60)))</t>
  </si>
  <si>
    <t>x_i</t>
  </si>
  <si>
    <t>chemical potential (kJ/mol)</t>
  </si>
  <si>
    <t>c_i-x</t>
  </si>
  <si>
    <t xml:space="preserve"> x_i</t>
  </si>
  <si>
    <t>Γ_N = 1 a_i = 1</t>
  </si>
  <si>
    <t>Γ_N = 2 a_i = 1</t>
  </si>
  <si>
    <t>Numbers- free E at each conc ratio</t>
  </si>
  <si>
    <t>x</t>
  </si>
  <si>
    <t>C_i-X - Cellulose conc</t>
  </si>
  <si>
    <t>X_i - nitrocellulose conc</t>
  </si>
  <si>
    <t>y</t>
  </si>
  <si>
    <t>A_i - acid conc</t>
  </si>
  <si>
    <t>breakdown of cell B37</t>
  </si>
  <si>
    <t>cellF37</t>
  </si>
  <si>
    <t>yep, negative number. No logging that!</t>
  </si>
  <si>
    <t>Denitration</t>
  </si>
  <si>
    <t>C_i-X -NC3_3</t>
  </si>
  <si>
    <t>X_i - Cell</t>
  </si>
  <si>
    <t>A_i - water conc</t>
  </si>
  <si>
    <t>*Check this*</t>
  </si>
  <si>
    <t>?</t>
  </si>
  <si>
    <t>Or acid conc?</t>
  </si>
  <si>
    <t>Γ_N = 3 a_i = 1</t>
  </si>
  <si>
    <t>Nitration, monomer</t>
  </si>
  <si>
    <t>Hartree</t>
  </si>
  <si>
    <t>KJ/mol</t>
  </si>
  <si>
    <t>NOTE: we treated the nitration as from 0 -3</t>
  </si>
  <si>
    <t>And did the reverse of this for denitration</t>
  </si>
  <si>
    <t>For the cellulose case (i.e. no NC), you would get 0, since you'd end up with LN 1. Check this.)</t>
  </si>
  <si>
    <t>Γ_N =  0a_i = 0</t>
  </si>
  <si>
    <t>Dimer/trimer study said C3 -&gt; C6 -&gt; C2</t>
  </si>
  <si>
    <t>We got the reverse order…..</t>
  </si>
  <si>
    <t>Based on purely thermodynamics, the nitration and denitration "route" should be the same.</t>
  </si>
  <si>
    <t xml:space="preserve">They only differwhen you look at the accesible strucutres from the structure before - or if you consider kinetics. </t>
  </si>
  <si>
    <t>This line is pasted in the zero space</t>
  </si>
  <si>
    <t>The reaction modelled here:</t>
  </si>
  <si>
    <t>Cell + HNO3 -&gt; NC + H2O</t>
  </si>
  <si>
    <t>IF it was with NO2+</t>
  </si>
  <si>
    <t>Cell + NO2+ + H2O -&gt; NC + H3O+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</si>
</sst>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b/>
      <strike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0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165" fontId="2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165" fontId="10" fillId="0" borderId="0" xfId="0" applyNumberFormat="1" applyFont="1"/>
    <xf numFmtId="0" fontId="11" fillId="2" borderId="0" xfId="0" applyFont="1" applyFill="1"/>
    <xf numFmtId="0" fontId="0" fillId="2" borderId="0" xfId="0" applyFill="1"/>
    <xf numFmtId="0" fontId="12" fillId="2" borderId="0" xfId="0" applyFont="1" applyFill="1"/>
    <xf numFmtId="0" fontId="0" fillId="0" borderId="0" xfId="0" applyAlignment="1">
      <alignment horizontal="right"/>
    </xf>
    <xf numFmtId="0" fontId="0" fillId="0" borderId="1" xfId="0" applyBorder="1"/>
    <xf numFmtId="165" fontId="0" fillId="0" borderId="2" xfId="0" applyNumberFormat="1" applyBorder="1"/>
    <xf numFmtId="165" fontId="3" fillId="0" borderId="2" xfId="0" applyNumberFormat="1" applyFont="1" applyBorder="1"/>
    <xf numFmtId="165" fontId="0" fillId="0" borderId="3" xfId="0" applyNumberFormat="1" applyBorder="1"/>
    <xf numFmtId="0" fontId="0" fillId="0" borderId="4" xfId="0" applyBorder="1"/>
    <xf numFmtId="165" fontId="0" fillId="0" borderId="0" xfId="0" applyNumberFormat="1" applyBorder="1"/>
    <xf numFmtId="165" fontId="3" fillId="0" borderId="0" xfId="0" applyNumberFormat="1" applyFont="1" applyBorder="1"/>
    <xf numFmtId="165" fontId="0" fillId="0" borderId="5" xfId="0" applyNumberFormat="1" applyBorder="1"/>
    <xf numFmtId="165" fontId="3" fillId="0" borderId="5" xfId="0" applyNumberFormat="1" applyFont="1" applyBorder="1"/>
    <xf numFmtId="165" fontId="2" fillId="0" borderId="0" xfId="0" applyNumberFormat="1" applyFont="1" applyBorder="1"/>
    <xf numFmtId="0" fontId="0" fillId="0" borderId="6" xfId="0" applyBorder="1"/>
    <xf numFmtId="165" fontId="0" fillId="0" borderId="7" xfId="0" applyNumberFormat="1" applyBorder="1"/>
    <xf numFmtId="165" fontId="9" fillId="0" borderId="7" xfId="0" applyNumberFormat="1" applyFont="1" applyBorder="1"/>
    <xf numFmtId="165" fontId="0" fillId="0" borderId="8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3" fillId="2" borderId="0" xfId="0" applyFont="1" applyFill="1"/>
    <xf numFmtId="0" fontId="13" fillId="0" borderId="0" xfId="0" applyFont="1"/>
    <xf numFmtId="0" fontId="14" fillId="0" borderId="0" xfId="0" applyFont="1"/>
    <xf numFmtId="164" fontId="3" fillId="3" borderId="0" xfId="0" applyNumberFormat="1" applyFont="1" applyFill="1"/>
    <xf numFmtId="165" fontId="16" fillId="0" borderId="2" xfId="0" applyNumberFormat="1" applyFont="1" applyBorder="1"/>
    <xf numFmtId="165" fontId="16" fillId="0" borderId="0" xfId="0" applyNumberFormat="1" applyFont="1"/>
    <xf numFmtId="165" fontId="0" fillId="4" borderId="0" xfId="0" applyNumberFormat="1" applyFill="1"/>
    <xf numFmtId="165" fontId="16" fillId="0" borderId="1" xfId="0" applyNumberFormat="1" applyFont="1" applyBorder="1"/>
    <xf numFmtId="165" fontId="15" fillId="4" borderId="0" xfId="0" applyNumberFormat="1" applyFont="1" applyFill="1"/>
    <xf numFmtId="165" fontId="1" fillId="4" borderId="0" xfId="0" applyNumberFormat="1" applyFont="1" applyFill="1"/>
    <xf numFmtId="165" fontId="0" fillId="0" borderId="4" xfId="0" applyNumberFormat="1" applyBorder="1"/>
    <xf numFmtId="165" fontId="15" fillId="0" borderId="0" xfId="0" applyNumberFormat="1" applyFont="1"/>
    <xf numFmtId="165" fontId="0" fillId="2" borderId="4" xfId="0" applyNumberFormat="1" applyFill="1" applyBorder="1"/>
    <xf numFmtId="165" fontId="0" fillId="2" borderId="0" xfId="0" applyNumberFormat="1" applyFill="1"/>
    <xf numFmtId="165" fontId="0" fillId="0" borderId="6" xfId="0" applyNumberFormat="1" applyBorder="1"/>
    <xf numFmtId="165" fontId="0" fillId="0" borderId="0" xfId="0" applyNumberFormat="1" applyFill="1"/>
    <xf numFmtId="0" fontId="17" fillId="4" borderId="0" xfId="0" applyFont="1" applyFill="1"/>
    <xf numFmtId="165" fontId="0" fillId="6" borderId="0" xfId="0" applyNumberFormat="1" applyFill="1"/>
    <xf numFmtId="164" fontId="18" fillId="5" borderId="0" xfId="0" applyNumberFormat="1" applyFont="1" applyFill="1"/>
    <xf numFmtId="165" fontId="1" fillId="0" borderId="0" xfId="0" applyNumberFormat="1" applyFont="1"/>
    <xf numFmtId="165" fontId="19" fillId="0" borderId="0" xfId="0" applyNumberFormat="1" applyFont="1"/>
    <xf numFmtId="165" fontId="11" fillId="0" borderId="0" xfId="0" applyNumberFormat="1" applyFont="1"/>
    <xf numFmtId="165" fontId="19" fillId="4" borderId="0" xfId="0" applyNumberFormat="1" applyFont="1" applyFill="1"/>
    <xf numFmtId="165" fontId="0" fillId="4" borderId="2" xfId="0" applyNumberFormat="1" applyFill="1" applyBorder="1"/>
    <xf numFmtId="165" fontId="0" fillId="4" borderId="3" xfId="0" applyNumberFormat="1" applyFill="1" applyBorder="1"/>
    <xf numFmtId="165" fontId="11" fillId="4" borderId="1" xfId="0" applyNumberFormat="1" applyFont="1" applyFill="1" applyBorder="1"/>
    <xf numFmtId="165" fontId="1" fillId="2" borderId="0" xfId="0" applyNumberFormat="1" applyFont="1" applyFill="1"/>
    <xf numFmtId="0" fontId="0" fillId="6" borderId="0" xfId="0" applyFill="1"/>
    <xf numFmtId="165" fontId="15" fillId="6" borderId="6" xfId="0" applyNumberFormat="1" applyFont="1" applyFill="1" applyBorder="1"/>
    <xf numFmtId="165" fontId="0" fillId="6" borderId="7" xfId="0" applyNumberFormat="1" applyFill="1" applyBorder="1"/>
    <xf numFmtId="165" fontId="15" fillId="6" borderId="7" xfId="0" applyNumberFormat="1" applyFont="1" applyFill="1" applyBorder="1"/>
    <xf numFmtId="165" fontId="1" fillId="6" borderId="7" xfId="0" applyNumberFormat="1" applyFont="1" applyFill="1" applyBorder="1"/>
    <xf numFmtId="165" fontId="0" fillId="6" borderId="8" xfId="0" applyNumberFormat="1" applyFill="1" applyBorder="1"/>
    <xf numFmtId="165" fontId="0" fillId="6" borderId="6" xfId="0" applyNumberFormat="1" applyFill="1" applyBorder="1"/>
    <xf numFmtId="164" fontId="14" fillId="3" borderId="0" xfId="0" applyNumberFormat="1" applyFont="1" applyFill="1"/>
    <xf numFmtId="0" fontId="20" fillId="0" borderId="0" xfId="0" applyFont="1"/>
    <xf numFmtId="164" fontId="21" fillId="0" borderId="0" xfId="0" applyNumberFormat="1" applyFont="1"/>
    <xf numFmtId="0" fontId="0" fillId="0" borderId="0" xfId="0" quotePrefix="1"/>
    <xf numFmtId="0" fontId="15" fillId="0" borderId="0" xfId="0" applyFont="1"/>
    <xf numFmtId="0" fontId="0" fillId="0" borderId="0" xfId="0" applyAlignment="1">
      <alignment horizontal="center"/>
    </xf>
    <xf numFmtId="165" fontId="0" fillId="7" borderId="2" xfId="0" applyNumberFormat="1" applyFill="1" applyBorder="1"/>
    <xf numFmtId="165" fontId="0" fillId="7" borderId="0" xfId="0" applyNumberFormat="1" applyFill="1" applyBorder="1"/>
    <xf numFmtId="165" fontId="0" fillId="7" borderId="7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quotePrefix="1" applyNumberFormat="1"/>
    <xf numFmtId="164" fontId="0" fillId="6" borderId="0" xfId="0" applyNumberFormat="1" applyFill="1"/>
    <xf numFmtId="165" fontId="1" fillId="0" borderId="4" xfId="0" applyNumberFormat="1" applyFont="1" applyBorder="1"/>
    <xf numFmtId="165" fontId="1" fillId="0" borderId="0" xfId="0" applyNumberFormat="1" applyFont="1" applyBorder="1"/>
    <xf numFmtId="164" fontId="2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Free Energies of</a:t>
            </a:r>
            <a:r>
              <a:rPr lang="en-ZA" baseline="0"/>
              <a:t> NC monomers  nitrated at C2, C3 and C6 sites at different temperatures (not the whole reaction!)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Monomer_rawG!$A$8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Monomer_rawG!$B$8:$D$8</c:f>
              <c:numCache>
                <c:formatCode>General</c:formatCode>
                <c:ptCount val="3"/>
                <c:pt idx="0">
                  <c:v>-969.817184</c:v>
                </c:pt>
                <c:pt idx="1">
                  <c:v>-969.84351800000002</c:v>
                </c:pt>
                <c:pt idx="2">
                  <c:v>-969.87626399999999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1-4CD1-B38C-23793A0C567E}"/>
            </c:ext>
          </c:extLst>
        </c:ser>
        <c:ser>
          <c:idx val="1"/>
          <c:order val="1"/>
          <c:tx>
            <c:strRef>
              <c:f>Monomer_rawG!$A$9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Monomer_rawG!$B$9:$D$9</c:f>
              <c:numCache>
                <c:formatCode>General</c:formatCode>
                <c:ptCount val="3"/>
                <c:pt idx="0">
                  <c:v>-969.81768799999998</c:v>
                </c:pt>
                <c:pt idx="1">
                  <c:v>-969.84390599999995</c:v>
                </c:pt>
                <c:pt idx="2">
                  <c:v>-969.87649199999998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1-4CD1-B38C-23793A0C567E}"/>
            </c:ext>
          </c:extLst>
        </c:ser>
        <c:ser>
          <c:idx val="2"/>
          <c:order val="2"/>
          <c:tx>
            <c:strRef>
              <c:f>Monomer_rawG!$A$10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Monomer_rawG!$B$10:$D$10</c:f>
              <c:numCache>
                <c:formatCode>General</c:formatCode>
                <c:ptCount val="3"/>
                <c:pt idx="0">
                  <c:v>-969.81726200000003</c:v>
                </c:pt>
                <c:pt idx="1">
                  <c:v>-969.84311100000002</c:v>
                </c:pt>
                <c:pt idx="2">
                  <c:v>-969.87525700000003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C1-4CD1-B38C-23793A0C5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65888"/>
        <c:axId val="197667008"/>
      </c:scatterChart>
      <c:valAx>
        <c:axId val="197665888"/>
        <c:scaling>
          <c:orientation val="minMax"/>
          <c:min val="1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</a:t>
                </a:r>
                <a:r>
                  <a:rPr lang="en-ZA" baseline="0"/>
                  <a:t> /K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7008"/>
        <c:crosses val="autoZero"/>
        <c:crossBetween val="midCat"/>
      </c:valAx>
      <c:valAx>
        <c:axId val="1976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Free Energy 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Free Energies of</a:t>
            </a:r>
            <a:r>
              <a:rPr lang="en-ZA" baseline="0"/>
              <a:t> NC monomers  nitrated at C2, C3 and C6 sites at 298K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Monomer_rawG!$A$8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Monomer_rawG!$B$8:$D$8</c:f>
              <c:numCache>
                <c:formatCode>General</c:formatCode>
                <c:ptCount val="3"/>
                <c:pt idx="0">
                  <c:v>-969.817184</c:v>
                </c:pt>
                <c:pt idx="1">
                  <c:v>-969.84351800000002</c:v>
                </c:pt>
                <c:pt idx="2">
                  <c:v>-969.87626399999999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2-44BF-95C7-B8C574D465B3}"/>
            </c:ext>
          </c:extLst>
        </c:ser>
        <c:ser>
          <c:idx val="1"/>
          <c:order val="1"/>
          <c:tx>
            <c:strRef>
              <c:f>Monomer_rawG!$A$9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Monomer_rawG!$B$9:$D$9</c:f>
              <c:numCache>
                <c:formatCode>General</c:formatCode>
                <c:ptCount val="3"/>
                <c:pt idx="0">
                  <c:v>-969.81768799999998</c:v>
                </c:pt>
                <c:pt idx="1">
                  <c:v>-969.84390599999995</c:v>
                </c:pt>
                <c:pt idx="2">
                  <c:v>-969.87649199999998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2-44BF-95C7-B8C574D465B3}"/>
            </c:ext>
          </c:extLst>
        </c:ser>
        <c:ser>
          <c:idx val="2"/>
          <c:order val="2"/>
          <c:tx>
            <c:strRef>
              <c:f>Monomer_rawG!$A$10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Monomer_rawG!$B$10:$D$10</c:f>
              <c:numCache>
                <c:formatCode>General</c:formatCode>
                <c:ptCount val="3"/>
                <c:pt idx="0">
                  <c:v>-969.81726200000003</c:v>
                </c:pt>
                <c:pt idx="1">
                  <c:v>-969.84311100000002</c:v>
                </c:pt>
                <c:pt idx="2">
                  <c:v>-969.87525700000003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D2-44BF-95C7-B8C574D4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70928"/>
        <c:axId val="197671488"/>
      </c:scatterChart>
      <c:valAx>
        <c:axId val="197670928"/>
        <c:scaling>
          <c:orientation val="minMax"/>
          <c:max val="299"/>
          <c:min val="2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</a:t>
                </a:r>
                <a:r>
                  <a:rPr lang="en-ZA" baseline="0"/>
                  <a:t> /K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1488"/>
        <c:crosses val="autoZero"/>
        <c:crossBetween val="midCat"/>
      </c:valAx>
      <c:valAx>
        <c:axId val="197671488"/>
        <c:scaling>
          <c:orientation val="minMax"/>
          <c:max val="-969.84299999999996"/>
          <c:min val="-969.8439999999999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Free Energy 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0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Free Energies of</a:t>
            </a:r>
            <a:r>
              <a:rPr lang="en-ZA" baseline="0"/>
              <a:t> NC monomers  nitrated at C2, C3 and C6 sites at 163K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8925273616563"/>
          <c:y val="0.12441088503793263"/>
          <c:w val="0.83131065441332364"/>
          <c:h val="0.71095967764939305"/>
        </c:manualLayout>
      </c:layout>
      <c:scatterChart>
        <c:scatterStyle val="lineMarker"/>
        <c:varyColors val="0"/>
        <c:ser>
          <c:idx val="0"/>
          <c:order val="0"/>
          <c:tx>
            <c:strRef>
              <c:f>Monomer_rawG!$A$8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Monomer_rawG!$B$8:$D$8</c:f>
              <c:numCache>
                <c:formatCode>General</c:formatCode>
                <c:ptCount val="3"/>
                <c:pt idx="0">
                  <c:v>-969.817184</c:v>
                </c:pt>
                <c:pt idx="1">
                  <c:v>-969.84351800000002</c:v>
                </c:pt>
                <c:pt idx="2">
                  <c:v>-969.87626399999999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7-4D4C-A1FE-54E3E976BE46}"/>
            </c:ext>
          </c:extLst>
        </c:ser>
        <c:ser>
          <c:idx val="1"/>
          <c:order val="1"/>
          <c:tx>
            <c:strRef>
              <c:f>Monomer_rawG!$A$9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Monomer_rawG!$B$9:$D$9</c:f>
              <c:numCache>
                <c:formatCode>General</c:formatCode>
                <c:ptCount val="3"/>
                <c:pt idx="0">
                  <c:v>-969.81768799999998</c:v>
                </c:pt>
                <c:pt idx="1">
                  <c:v>-969.84390599999995</c:v>
                </c:pt>
                <c:pt idx="2">
                  <c:v>-969.87649199999998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7-4D4C-A1FE-54E3E976BE46}"/>
            </c:ext>
          </c:extLst>
        </c:ser>
        <c:ser>
          <c:idx val="2"/>
          <c:order val="2"/>
          <c:tx>
            <c:strRef>
              <c:f>Monomer_rawG!$A$10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Monomer_rawG!$B$10:$D$10</c:f>
              <c:numCache>
                <c:formatCode>General</c:formatCode>
                <c:ptCount val="3"/>
                <c:pt idx="0">
                  <c:v>-969.81726200000003</c:v>
                </c:pt>
                <c:pt idx="1">
                  <c:v>-969.84311100000002</c:v>
                </c:pt>
                <c:pt idx="2">
                  <c:v>-969.87525700000003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97-4D4C-A1FE-54E3E976B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75408"/>
        <c:axId val="197675968"/>
      </c:scatterChart>
      <c:valAx>
        <c:axId val="197675408"/>
        <c:scaling>
          <c:orientation val="minMax"/>
          <c:max val="164"/>
          <c:min val="1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</a:t>
                </a:r>
                <a:r>
                  <a:rPr lang="en-ZA" baseline="0"/>
                  <a:t> /K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5968"/>
        <c:crosses val="autoZero"/>
        <c:crossBetween val="midCat"/>
      </c:valAx>
      <c:valAx>
        <c:axId val="197675968"/>
        <c:scaling>
          <c:orientation val="minMax"/>
          <c:max val="-969.81699999999989"/>
          <c:min val="-969.817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Free Energy 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Free Energies of</a:t>
            </a:r>
            <a:r>
              <a:rPr lang="en-ZA" baseline="0"/>
              <a:t> NC monomers  nitrated at C2, C3 and C6 sites at 433K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Monomer_rawG!$A$8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Monomer_rawG!$B$8:$D$8</c:f>
              <c:numCache>
                <c:formatCode>General</c:formatCode>
                <c:ptCount val="3"/>
                <c:pt idx="0">
                  <c:v>-969.817184</c:v>
                </c:pt>
                <c:pt idx="1">
                  <c:v>-969.84351800000002</c:v>
                </c:pt>
                <c:pt idx="2">
                  <c:v>-969.87626399999999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C-437A-AFD8-7CD6173B3A89}"/>
            </c:ext>
          </c:extLst>
        </c:ser>
        <c:ser>
          <c:idx val="1"/>
          <c:order val="1"/>
          <c:tx>
            <c:strRef>
              <c:f>Monomer_rawG!$A$9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Monomer_rawG!$B$9:$D$9</c:f>
              <c:numCache>
                <c:formatCode>General</c:formatCode>
                <c:ptCount val="3"/>
                <c:pt idx="0">
                  <c:v>-969.81768799999998</c:v>
                </c:pt>
                <c:pt idx="1">
                  <c:v>-969.84390599999995</c:v>
                </c:pt>
                <c:pt idx="2">
                  <c:v>-969.87649199999998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C-437A-AFD8-7CD6173B3A89}"/>
            </c:ext>
          </c:extLst>
        </c:ser>
        <c:ser>
          <c:idx val="2"/>
          <c:order val="2"/>
          <c:tx>
            <c:strRef>
              <c:f>Monomer_rawG!$A$10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Monomer_rawG!$B$7:$D$7</c:f>
              <c:numCache>
                <c:formatCode>General</c:formatCode>
                <c:ptCount val="3"/>
                <c:pt idx="0">
                  <c:v>163</c:v>
                </c:pt>
                <c:pt idx="1">
                  <c:v>298</c:v>
                </c:pt>
                <c:pt idx="2">
                  <c:v>433</c:v>
                </c:pt>
              </c:numCache>
            </c:numRef>
          </c:xVal>
          <c:yVal>
            <c:numRef>
              <c:f>Monomer_rawG!$B$10:$D$10</c:f>
              <c:numCache>
                <c:formatCode>General</c:formatCode>
                <c:ptCount val="3"/>
                <c:pt idx="0">
                  <c:v>-969.81726200000003</c:v>
                </c:pt>
                <c:pt idx="1">
                  <c:v>-969.84311100000002</c:v>
                </c:pt>
                <c:pt idx="2">
                  <c:v>-969.87525700000003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C-437A-AFD8-7CD6173B3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20208"/>
        <c:axId val="199720768"/>
      </c:scatterChart>
      <c:valAx>
        <c:axId val="199720208"/>
        <c:scaling>
          <c:orientation val="minMax"/>
          <c:max val="434"/>
          <c:min val="4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</a:t>
                </a:r>
                <a:r>
                  <a:rPr lang="en-ZA" baseline="0"/>
                  <a:t> /K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0768"/>
        <c:crosses val="autoZero"/>
        <c:crossBetween val="midCat"/>
      </c:valAx>
      <c:valAx>
        <c:axId val="199720768"/>
        <c:scaling>
          <c:orientation val="minMax"/>
          <c:max val="-969.87"/>
          <c:min val="-969.8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Free Energy 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Δ</a:t>
            </a:r>
            <a:r>
              <a:rPr lang="en-ZA" sz="1400" b="0" i="0" u="none" strike="noStrike" baseline="0">
                <a:effectLst/>
              </a:rPr>
              <a:t>G </a:t>
            </a:r>
            <a:r>
              <a:rPr lang="en-ZA" sz="1400" b="0" i="0" baseline="0">
                <a:effectLst/>
              </a:rPr>
              <a:t>of nitration at C2, C3 and C6 sites in </a:t>
            </a:r>
            <a:r>
              <a:rPr lang="en-ZA" sz="1400" b="0" i="0" u="none" strike="noStrike" baseline="0">
                <a:effectLst/>
              </a:rPr>
              <a:t> NC </a:t>
            </a:r>
            <a:endParaRPr lang="en-ZA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'Monomer first nitration'!$J$4</c:f>
              <c:strCache>
                <c:ptCount val="1"/>
                <c:pt idx="0">
                  <c:v>Nitration at 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'Monomer first nitration'!$K$5:$O$5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nitration'!$K$8:$O$8</c:f>
              <c:numCache>
                <c:formatCode>General</c:formatCode>
                <c:ptCount val="5"/>
                <c:pt idx="0">
                  <c:v>-9.7299999999904685E-3</c:v>
                </c:pt>
                <c:pt idx="1">
                  <c:v>-2.5570000000243454E-3</c:v>
                </c:pt>
                <c:pt idx="2" formatCode="0.00000">
                  <c:v>-2.4949999999535066E-3</c:v>
                </c:pt>
                <c:pt idx="3">
                  <c:v>-2.4499999999534339E-3</c:v>
                </c:pt>
                <c:pt idx="4">
                  <c:v>4.7349999999823922E-3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F-463D-AE7A-485FF37617C5}"/>
            </c:ext>
          </c:extLst>
        </c:ser>
        <c:ser>
          <c:idx val="1"/>
          <c:order val="1"/>
          <c:tx>
            <c:strRef>
              <c:f>'Monomer first nitration'!$J$11</c:f>
              <c:strCache>
                <c:ptCount val="1"/>
                <c:pt idx="0">
                  <c:v>Nitration at 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'Monomer first nitration'!$K$12:$O$12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nitration'!$K$15:$O$15</c:f>
              <c:numCache>
                <c:formatCode>General</c:formatCode>
                <c:ptCount val="5"/>
                <c:pt idx="0">
                  <c:v>-1.0233999999854859E-2</c:v>
                </c:pt>
                <c:pt idx="1">
                  <c:v>-2.9460000000653963E-3</c:v>
                </c:pt>
                <c:pt idx="2" formatCode="0.00000">
                  <c:v>-2.8829999998833955E-3</c:v>
                </c:pt>
                <c:pt idx="3">
                  <c:v>-2.8369999999995343E-3</c:v>
                </c:pt>
                <c:pt idx="4">
                  <c:v>4.5070000001032895E-3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5F-463D-AE7A-485FF37617C5}"/>
            </c:ext>
          </c:extLst>
        </c:ser>
        <c:ser>
          <c:idx val="2"/>
          <c:order val="2"/>
          <c:tx>
            <c:strRef>
              <c:f>'Monomer first nitration'!$J$18</c:f>
              <c:strCache>
                <c:ptCount val="1"/>
                <c:pt idx="0">
                  <c:v>Nitration at 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'Monomer first nitration'!$K$19:$O$19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nitration'!$K$22:$O$22</c:f>
              <c:numCache>
                <c:formatCode>General</c:formatCode>
                <c:ptCount val="5"/>
                <c:pt idx="0">
                  <c:v>-9.8080000000209111E-3</c:v>
                </c:pt>
                <c:pt idx="1">
                  <c:v>-2.154000000018641E-3</c:v>
                </c:pt>
                <c:pt idx="2" formatCode="0.00000">
                  <c:v>-2.0879999999579013E-3</c:v>
                </c:pt>
                <c:pt idx="3">
                  <c:v>-2.0400000000790897E-3</c:v>
                </c:pt>
                <c:pt idx="4">
                  <c:v>5.7420000000547589E-3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5F-463D-AE7A-485FF376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24688"/>
        <c:axId val="199725248"/>
      </c:scatterChart>
      <c:valAx>
        <c:axId val="199724688"/>
        <c:scaling>
          <c:orientation val="minMax"/>
          <c:max val="460"/>
          <c:min val="1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5248"/>
        <c:crosses val="autoZero"/>
        <c:crossBetween val="midCat"/>
        <c:minorUnit val="10"/>
      </c:valAx>
      <c:valAx>
        <c:axId val="199725248"/>
        <c:scaling>
          <c:orientation val="minMax"/>
          <c:max val="6.0000000000000019E-3"/>
          <c:min val="-1.1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ZA"/>
                  <a:t>G</a:t>
                </a:r>
                <a:r>
                  <a:rPr lang="en-ZA" baseline="0"/>
                  <a:t> / H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4688"/>
        <c:crosses val="autoZero"/>
        <c:crossBetween val="midCat"/>
        <c:minorUnit val="8.0000000000000026E-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800" b="0" i="0" baseline="0">
                <a:effectLst/>
              </a:rPr>
              <a:t>Δ</a:t>
            </a:r>
            <a:r>
              <a:rPr lang="en-ZA" sz="1800" b="0" i="0" baseline="0">
                <a:effectLst/>
              </a:rPr>
              <a:t>G of nitration at C2, C3 and C6 sites in NC </a:t>
            </a:r>
            <a:endParaRPr lang="en-GB">
              <a:effectLst/>
            </a:endParaRPr>
          </a:p>
        </c:rich>
      </c:tx>
      <c:layout>
        <c:manualLayout>
          <c:xMode val="edge"/>
          <c:yMode val="edge"/>
          <c:x val="0.22105191981959751"/>
          <c:y val="1.381862958002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'Monomer first nitration'!$J$4</c:f>
              <c:strCache>
                <c:ptCount val="1"/>
                <c:pt idx="0">
                  <c:v>Nitration at C2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'Monomer first nitration'!$K$5:$O$5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nitration'!$K$8:$O$8</c:f>
              <c:numCache>
                <c:formatCode>General</c:formatCode>
                <c:ptCount val="5"/>
                <c:pt idx="0">
                  <c:v>-9.7299999999904685E-3</c:v>
                </c:pt>
                <c:pt idx="1">
                  <c:v>-2.5570000000243454E-3</c:v>
                </c:pt>
                <c:pt idx="2" formatCode="0.00000">
                  <c:v>-2.4949999999535066E-3</c:v>
                </c:pt>
                <c:pt idx="3">
                  <c:v>-2.4499999999534339E-3</c:v>
                </c:pt>
                <c:pt idx="4">
                  <c:v>4.7349999999823922E-3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1-4FC6-8891-D6B1FD59E98D}"/>
            </c:ext>
          </c:extLst>
        </c:ser>
        <c:ser>
          <c:idx val="1"/>
          <c:order val="1"/>
          <c:tx>
            <c:strRef>
              <c:f>'Monomer first nitration'!$J$11</c:f>
              <c:strCache>
                <c:ptCount val="1"/>
                <c:pt idx="0">
                  <c:v>Nitration at C3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'Monomer first nitration'!$K$12:$O$12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nitration'!$K$15:$O$15</c:f>
              <c:numCache>
                <c:formatCode>General</c:formatCode>
                <c:ptCount val="5"/>
                <c:pt idx="0">
                  <c:v>-1.0233999999854859E-2</c:v>
                </c:pt>
                <c:pt idx="1">
                  <c:v>-2.9460000000653963E-3</c:v>
                </c:pt>
                <c:pt idx="2" formatCode="0.00000">
                  <c:v>-2.8829999998833955E-3</c:v>
                </c:pt>
                <c:pt idx="3">
                  <c:v>-2.8369999999995343E-3</c:v>
                </c:pt>
                <c:pt idx="4">
                  <c:v>4.5070000001032895E-3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E1-4FC6-8891-D6B1FD59E98D}"/>
            </c:ext>
          </c:extLst>
        </c:ser>
        <c:ser>
          <c:idx val="2"/>
          <c:order val="2"/>
          <c:tx>
            <c:strRef>
              <c:f>'Monomer first nitration'!$J$18</c:f>
              <c:strCache>
                <c:ptCount val="1"/>
                <c:pt idx="0">
                  <c:v>Nitration at 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'Monomer first nitration'!$K$19:$O$19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nitration'!$K$22:$O$22</c:f>
              <c:numCache>
                <c:formatCode>General</c:formatCode>
                <c:ptCount val="5"/>
                <c:pt idx="0">
                  <c:v>-9.8080000000209111E-3</c:v>
                </c:pt>
                <c:pt idx="1">
                  <c:v>-2.154000000018641E-3</c:v>
                </c:pt>
                <c:pt idx="2" formatCode="0.00000">
                  <c:v>-2.0879999999579013E-3</c:v>
                </c:pt>
                <c:pt idx="3">
                  <c:v>-2.0400000000790897E-3</c:v>
                </c:pt>
                <c:pt idx="4">
                  <c:v>5.7420000000547589E-3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E1-4FC6-8891-D6B1FD59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29168"/>
        <c:axId val="199729728"/>
      </c:scatterChart>
      <c:valAx>
        <c:axId val="199729168"/>
        <c:scaling>
          <c:orientation val="minMax"/>
          <c:max val="300"/>
          <c:min val="2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9728"/>
        <c:crosses val="autoZero"/>
        <c:crossBetween val="midCat"/>
      </c:valAx>
      <c:valAx>
        <c:axId val="199729728"/>
        <c:scaling>
          <c:orientation val="minMax"/>
          <c:max val="-1.8000000000000004E-3"/>
          <c:min val="-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ZA"/>
                  <a:t>G</a:t>
                </a:r>
                <a:r>
                  <a:rPr lang="en-ZA" baseline="0"/>
                  <a:t> / H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l-GR">
                <a:latin typeface="+mn-lt"/>
              </a:rPr>
              <a:t>Δ</a:t>
            </a:r>
            <a:r>
              <a:rPr lang="en-ZA">
                <a:latin typeface="+mn-lt"/>
              </a:rPr>
              <a:t>G of nitration at C2, C3 and C6 sites in NC </a:t>
            </a:r>
            <a:endParaRPr lang="en-GB">
              <a:latin typeface="+mn-lt"/>
            </a:endParaRPr>
          </a:p>
        </c:rich>
      </c:tx>
      <c:layout>
        <c:manualLayout>
          <c:xMode val="edge"/>
          <c:yMode val="edge"/>
          <c:x val="0.15791037401621039"/>
          <c:y val="2.6872197681030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'Monomer first nitration'!$J$4</c:f>
              <c:strCache>
                <c:ptCount val="1"/>
                <c:pt idx="0">
                  <c:v>Nitration at C2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'Monomer first nitration'!$K$5:$O$5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nitration'!$K$8:$O$8</c:f>
              <c:numCache>
                <c:formatCode>General</c:formatCode>
                <c:ptCount val="5"/>
                <c:pt idx="0">
                  <c:v>-9.7299999999904685E-3</c:v>
                </c:pt>
                <c:pt idx="1">
                  <c:v>-2.5570000000243454E-3</c:v>
                </c:pt>
                <c:pt idx="2" formatCode="0.00000">
                  <c:v>-2.4949999999535066E-3</c:v>
                </c:pt>
                <c:pt idx="3">
                  <c:v>-2.4499999999534339E-3</c:v>
                </c:pt>
                <c:pt idx="4">
                  <c:v>4.7349999999823922E-3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C-4816-817C-51FB3AEDD0B7}"/>
            </c:ext>
          </c:extLst>
        </c:ser>
        <c:ser>
          <c:idx val="1"/>
          <c:order val="1"/>
          <c:tx>
            <c:strRef>
              <c:f>'Monomer first nitration'!$J$11</c:f>
              <c:strCache>
                <c:ptCount val="1"/>
                <c:pt idx="0">
                  <c:v>Nitration at C3</c:v>
                </c:pt>
              </c:strCache>
            </c:strRef>
          </c:tx>
          <c:spPr>
            <a:ln w="25400" cap="flat" cmpd="dbl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2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'Monomer first nitration'!$K$12:$O$12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nitration'!$K$15:$O$15</c:f>
              <c:numCache>
                <c:formatCode>General</c:formatCode>
                <c:ptCount val="5"/>
                <c:pt idx="0">
                  <c:v>-1.0233999999854859E-2</c:v>
                </c:pt>
                <c:pt idx="1">
                  <c:v>-2.9460000000653963E-3</c:v>
                </c:pt>
                <c:pt idx="2" formatCode="0.00000">
                  <c:v>-2.8829999998833955E-3</c:v>
                </c:pt>
                <c:pt idx="3">
                  <c:v>-2.8369999999995343E-3</c:v>
                </c:pt>
                <c:pt idx="4">
                  <c:v>4.5070000001032895E-3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C-4816-817C-51FB3AEDD0B7}"/>
            </c:ext>
          </c:extLst>
        </c:ser>
        <c:ser>
          <c:idx val="2"/>
          <c:order val="2"/>
          <c:tx>
            <c:strRef>
              <c:f>'Monomer first nitration'!$J$18</c:f>
              <c:strCache>
                <c:ptCount val="1"/>
                <c:pt idx="0">
                  <c:v>Nitration at C6</c:v>
                </c:pt>
              </c:strCache>
            </c:strRef>
          </c:tx>
          <c:spPr>
            <a:ln w="25400" cap="flat" cmpd="dbl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3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'Monomer first nitration'!$K$19:$O$19</c:f>
              <c:numCache>
                <c:formatCode>General</c:formatCode>
                <c:ptCount val="5"/>
                <c:pt idx="0">
                  <c:v>163</c:v>
                </c:pt>
                <c:pt idx="1">
                  <c:v>297</c:v>
                </c:pt>
                <c:pt idx="2">
                  <c:v>298</c:v>
                </c:pt>
                <c:pt idx="3">
                  <c:v>299</c:v>
                </c:pt>
                <c:pt idx="4">
                  <c:v>433</c:v>
                </c:pt>
              </c:numCache>
            </c:numRef>
          </c:xVal>
          <c:yVal>
            <c:numRef>
              <c:f>'Monomer first nitration'!$K$22:$O$22</c:f>
              <c:numCache>
                <c:formatCode>General</c:formatCode>
                <c:ptCount val="5"/>
                <c:pt idx="0">
                  <c:v>-9.8080000000209111E-3</c:v>
                </c:pt>
                <c:pt idx="1">
                  <c:v>-2.154000000018641E-3</c:v>
                </c:pt>
                <c:pt idx="2" formatCode="0.00000">
                  <c:v>-2.0879999999579013E-3</c:v>
                </c:pt>
                <c:pt idx="3">
                  <c:v>-2.0400000000790897E-3</c:v>
                </c:pt>
                <c:pt idx="4">
                  <c:v>5.7420000000547589E-3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EC-4816-817C-51FB3AED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09904"/>
        <c:axId val="200610464"/>
      </c:scatterChart>
      <c:valAx>
        <c:axId val="200609904"/>
        <c:scaling>
          <c:orientation val="minMax"/>
          <c:max val="300"/>
          <c:min val="2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Temperature</a:t>
                </a:r>
                <a:r>
                  <a:rPr lang="en-ZA" b="1"/>
                  <a:t>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0464"/>
        <c:crosses val="autoZero"/>
        <c:crossBetween val="midCat"/>
      </c:valAx>
      <c:valAx>
        <c:axId val="200610464"/>
        <c:scaling>
          <c:orientation val="minMax"/>
          <c:max val="-1.8000000000000004E-3"/>
          <c:min val="-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50" b="1"/>
                  <a:t>Δ</a:t>
                </a:r>
                <a:r>
                  <a:rPr lang="en-ZA" sz="1050" b="1"/>
                  <a:t>G /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0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ROUGH_</a:t>
            </a:r>
            <a:r>
              <a:rPr lang="el-GR"/>
              <a:t>Δ</a:t>
            </a:r>
            <a:r>
              <a:rPr lang="en-GB"/>
              <a:t>G of nitration at second site of NC 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'Monomer continuation'!$B$33</c:f>
              <c:strCache>
                <c:ptCount val="1"/>
                <c:pt idx="0">
                  <c:v>From 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'Monomer continuation'!$F$34:$G$34</c:f>
              <c:strCache>
                <c:ptCount val="2"/>
                <c:pt idx="0">
                  <c:v>C2_6</c:v>
                </c:pt>
                <c:pt idx="1">
                  <c:v>C3_6</c:v>
                </c:pt>
              </c:strCache>
            </c:strRef>
          </c:cat>
          <c:val>
            <c:numRef>
              <c:f>'Monomer continuation'!$B$35:$C$35</c:f>
              <c:numCache>
                <c:formatCode>0.000000</c:formatCode>
                <c:ptCount val="2"/>
                <c:pt idx="0">
                  <c:v>-5.7020000001557491E-3</c:v>
                </c:pt>
                <c:pt idx="1">
                  <c:v>-7.0060000000466971E-3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1-4585-AD02-29AE3F7596D6}"/>
            </c:ext>
          </c:extLst>
        </c:ser>
        <c:ser>
          <c:idx val="1"/>
          <c:order val="1"/>
          <c:tx>
            <c:strRef>
              <c:f>'Monomer continuation'!$D$33</c:f>
              <c:strCache>
                <c:ptCount val="1"/>
                <c:pt idx="0">
                  <c:v>From C3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'Monomer continuation'!$F$34:$G$34</c:f>
              <c:strCache>
                <c:ptCount val="2"/>
                <c:pt idx="0">
                  <c:v>C2_6</c:v>
                </c:pt>
                <c:pt idx="1">
                  <c:v>C3_6</c:v>
                </c:pt>
              </c:strCache>
            </c:strRef>
          </c:cat>
          <c:val>
            <c:numRef>
              <c:f>'Monomer continuation'!$D$35:$E$35</c:f>
              <c:numCache>
                <c:formatCode>0.000000</c:formatCode>
                <c:ptCount val="2"/>
                <c:pt idx="0">
                  <c:v>-5.3140000002258603E-3</c:v>
                </c:pt>
                <c:pt idx="1">
                  <c:v>-1.4690000002701709E-3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1-4585-AD02-29AE3F7596D6}"/>
            </c:ext>
          </c:extLst>
        </c:ser>
        <c:ser>
          <c:idx val="2"/>
          <c:order val="2"/>
          <c:tx>
            <c:strRef>
              <c:f>'Monomer continuation'!$F$33</c:f>
              <c:strCache>
                <c:ptCount val="1"/>
                <c:pt idx="0">
                  <c:v>From C6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'Monomer continuation'!$F$34:$G$34</c:f>
              <c:strCache>
                <c:ptCount val="2"/>
                <c:pt idx="0">
                  <c:v>C2_6</c:v>
                </c:pt>
                <c:pt idx="1">
                  <c:v>C3_6</c:v>
                </c:pt>
              </c:strCache>
            </c:strRef>
          </c:cat>
          <c:val>
            <c:numRef>
              <c:f>'Monomer continuation'!$F$35:$G$35</c:f>
              <c:numCache>
                <c:formatCode>0.000000</c:formatCode>
                <c:ptCount val="2"/>
                <c:pt idx="0">
                  <c:v>-7.4130000000423024E-3</c:v>
                </c:pt>
                <c:pt idx="1">
                  <c:v>-2.2640000001956651E-3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F1-4585-AD02-29AE3F7596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2765064"/>
        <c:axId val="562766704"/>
      </c:barChart>
      <c:catAx>
        <c:axId val="562765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Nitration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66704"/>
        <c:crosses val="autoZero"/>
        <c:auto val="1"/>
        <c:lblAlgn val="ctr"/>
        <c:lblOffset val="100"/>
        <c:noMultiLvlLbl val="0"/>
      </c:catAx>
      <c:valAx>
        <c:axId val="56276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GB"/>
                  <a:t>G 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6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US"/>
              <a:t>G of nitration</a:t>
            </a:r>
            <a:r>
              <a:rPr lang="en-US" baseline="0"/>
              <a:t> at second site of NC</a:t>
            </a:r>
            <a:r>
              <a:rPr lang="en-US"/>
              <a:t> /H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'Monomer continuation'!$A$35</c:f>
              <c:strCache>
                <c:ptCount val="1"/>
                <c:pt idx="0">
                  <c:v>ΔG 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glow rad="76200">
                  <a:schemeClr val="accent1">
                    <a:lumMod val="40000"/>
                    <a:lumOff val="60000"/>
                    <a:alpha val="33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732-43FA-A7C5-4D2FD3224B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'Monomer continuation'!$B$33:$G$34</c:f>
              <c:multiLvlStrCache>
                <c:ptCount val="6"/>
                <c:lvl>
                  <c:pt idx="0">
                    <c:v>C2_3</c:v>
                  </c:pt>
                  <c:pt idx="1">
                    <c:v>C2_6</c:v>
                  </c:pt>
                  <c:pt idx="2">
                    <c:v>C2_3</c:v>
                  </c:pt>
                  <c:pt idx="3">
                    <c:v>C3_6</c:v>
                  </c:pt>
                  <c:pt idx="4">
                    <c:v>C2_6</c:v>
                  </c:pt>
                  <c:pt idx="5">
                    <c:v>C3_6</c:v>
                  </c:pt>
                </c:lvl>
                <c:lvl>
                  <c:pt idx="0">
                    <c:v>From C2</c:v>
                  </c:pt>
                  <c:pt idx="2">
                    <c:v>From C3</c:v>
                  </c:pt>
                  <c:pt idx="4">
                    <c:v>From C6</c:v>
                  </c:pt>
                </c:lvl>
              </c:multiLvlStrCache>
            </c:multiLvlStrRef>
          </c:cat>
          <c:val>
            <c:numRef>
              <c:f>'Monomer continuation'!$B$35:$G$35</c:f>
              <c:numCache>
                <c:formatCode>0.000000</c:formatCode>
                <c:ptCount val="6"/>
                <c:pt idx="0">
                  <c:v>-5.7020000001557491E-3</c:v>
                </c:pt>
                <c:pt idx="1">
                  <c:v>-7.0060000000466971E-3</c:v>
                </c:pt>
                <c:pt idx="2">
                  <c:v>-5.3140000002258603E-3</c:v>
                </c:pt>
                <c:pt idx="3">
                  <c:v>-1.4690000002701709E-3</c:v>
                </c:pt>
                <c:pt idx="4">
                  <c:v>-7.4130000000423024E-3</c:v>
                </c:pt>
                <c:pt idx="5">
                  <c:v>-2.2640000001956651E-3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2-43FA-A7C5-4D2FD322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387096"/>
        <c:axId val="541384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'Monomer continuation'!$A$35</c15:sqref>
                        </c15:formulaRef>
                      </c:ext>
                    </c:extLst>
                    <c:strCache>
                      <c:ptCount val="1"/>
                      <c:pt idx="0">
                        <c:v>ΔG /H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'Monomer continuation'!$B$33:$G$34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C2_3</c:v>
                        </c:pt>
                        <c:pt idx="1">
                          <c:v>C2_6</c:v>
                        </c:pt>
                        <c:pt idx="2">
                          <c:v>C2_3</c:v>
                        </c:pt>
                        <c:pt idx="3">
                          <c:v>C3_6</c:v>
                        </c:pt>
                        <c:pt idx="4">
                          <c:v>C2_6</c:v>
                        </c:pt>
                        <c:pt idx="5">
                          <c:v>C3_6</c:v>
                        </c:pt>
                      </c:lvl>
                      <c:lvl>
                        <c:pt idx="0">
                          <c:v>From C2</c:v>
                        </c:pt>
                        <c:pt idx="2">
                          <c:v>From C3</c:v>
                        </c:pt>
                        <c:pt idx="4">
                          <c:v>From C6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'Monomer continuation'!$B$35:$G$35</c15:sqref>
                        </c15:formulaRef>
                      </c:ext>
                    </c:extLst>
                    <c:numCache>
                      <c:formatCode>0.000000</c:formatCode>
                      <c:ptCount val="6"/>
                      <c:pt idx="0">
                        <c:v>-5.7020000001557491E-3</c:v>
                      </c:pt>
                      <c:pt idx="1">
                        <c:v>-7.0060000000466971E-3</c:v>
                      </c:pt>
                      <c:pt idx="2">
                        <c:v>-5.3140000002258603E-3</c:v>
                      </c:pt>
                      <c:pt idx="3">
                        <c:v>-1.4690000002701709E-3</c:v>
                      </c:pt>
                      <c:pt idx="4">
                        <c:v>-7.4130000000423024E-3</c:v>
                      </c:pt>
                      <c:pt idx="5">
                        <c:v>-2.2640000001956651E-3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732-43FA-A7C5-4D2FD3224BD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'Monomer continuation'!$A$35</c15:sqref>
                        </c15:formulaRef>
                      </c:ext>
                    </c:extLst>
                    <c:strCache>
                      <c:ptCount val="1"/>
                      <c:pt idx="0">
                        <c:v>ΔG /H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'Monomer continuation'!$B$33:$G$34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C2_3</c:v>
                        </c:pt>
                        <c:pt idx="1">
                          <c:v>C2_6</c:v>
                        </c:pt>
                        <c:pt idx="2">
                          <c:v>C2_3</c:v>
                        </c:pt>
                        <c:pt idx="3">
                          <c:v>C3_6</c:v>
                        </c:pt>
                        <c:pt idx="4">
                          <c:v>C2_6</c:v>
                        </c:pt>
                        <c:pt idx="5">
                          <c:v>C3_6</c:v>
                        </c:pt>
                      </c:lvl>
                      <c:lvl>
                        <c:pt idx="0">
                          <c:v>From C2</c:v>
                        </c:pt>
                        <c:pt idx="2">
                          <c:v>From C3</c:v>
                        </c:pt>
                        <c:pt idx="4">
                          <c:v>From C6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'Monomer continuation'!$B$35:$G$35</c15:sqref>
                        </c15:formulaRef>
                      </c:ext>
                    </c:extLst>
                    <c:numCache>
                      <c:formatCode>0.000000</c:formatCode>
                      <c:ptCount val="6"/>
                      <c:pt idx="0">
                        <c:v>-5.7020000001557491E-3</c:v>
                      </c:pt>
                      <c:pt idx="1">
                        <c:v>-7.0060000000466971E-3</c:v>
                      </c:pt>
                      <c:pt idx="2">
                        <c:v>-5.3140000002258603E-3</c:v>
                      </c:pt>
                      <c:pt idx="3">
                        <c:v>-1.4690000002701709E-3</c:v>
                      </c:pt>
                      <c:pt idx="4">
                        <c:v>-7.4130000000423024E-3</c:v>
                      </c:pt>
                      <c:pt idx="5">
                        <c:v>-2.2640000001956651E-3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732-43FA-A7C5-4D2FD3224BD4}"/>
                  </c:ext>
                </c:extLst>
              </c15:ser>
            </c15:filteredBarSeries>
          </c:ext>
        </c:extLst>
      </c:barChart>
      <c:catAx>
        <c:axId val="541387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Nitration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5">
              <a:lumMod val="20000"/>
              <a:lumOff val="80000"/>
            </a:schemeClr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84472"/>
        <c:crosses val="autoZero"/>
        <c:auto val="1"/>
        <c:lblAlgn val="ctr"/>
        <c:lblOffset val="100"/>
        <c:noMultiLvlLbl val="0"/>
      </c:catAx>
      <c:valAx>
        <c:axId val="5413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GB"/>
                  <a:t>G</a:t>
                </a:r>
                <a:r>
                  <a:rPr lang="en-GB" baseline="0"/>
                  <a:t> /H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8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Δ</a:t>
            </a:r>
            <a:r>
              <a:rPr lang="en-ZA" sz="1400" b="0" i="0" u="none" strike="noStrike" baseline="0">
                <a:effectLst/>
              </a:rPr>
              <a:t>G of nitration of dimers at six nitration sites</a:t>
            </a:r>
            <a:r>
              <a:rPr lang="en-ZA" baseline="0"/>
              <a:t>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Dimer!$B$22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Dimer!$C$25:$G$25</c:f>
              <c:numCache>
                <c:formatCode>0.00000</c:formatCode>
                <c:ptCount val="5"/>
                <c:pt idx="0">
                  <c:v>-1.2114000000110536E-2</c:v>
                </c:pt>
                <c:pt idx="1">
                  <c:v>-1.0373999999956141E-2</c:v>
                </c:pt>
                <c:pt idx="2">
                  <c:v>-5.7200000001103035E-3</c:v>
                </c:pt>
                <c:pt idx="3">
                  <c:v>-5.6309999999939464E-3</c:v>
                </c:pt>
                <c:pt idx="4">
                  <c:v>6.8699999997079431E-4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6-4187-8A0C-85B7FA161588}"/>
            </c:ext>
          </c:extLst>
        </c:ser>
        <c:ser>
          <c:idx val="1"/>
          <c:order val="1"/>
          <c:tx>
            <c:strRef>
              <c:f>Dimer!$B$28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Dimer!$C$30:$G$30</c:f>
              <c:numCache>
                <c:formatCode>0.00000</c:formatCode>
                <c:ptCount val="5"/>
                <c:pt idx="0">
                  <c:v>-1.3834999999971842E-2</c:v>
                </c:pt>
                <c:pt idx="1">
                  <c:v>-1.1529999999993379E-2</c:v>
                </c:pt>
                <c:pt idx="2">
                  <c:v>-5.3780000000642758E-3</c:v>
                </c:pt>
                <c:pt idx="3">
                  <c:v>-5.2600000001348235E-3</c:v>
                </c:pt>
                <c:pt idx="4">
                  <c:v>3.0930000000353175E-3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D6-4187-8A0C-85B7FA161588}"/>
            </c:ext>
          </c:extLst>
        </c:ser>
        <c:ser>
          <c:idx val="2"/>
          <c:order val="2"/>
          <c:tx>
            <c:strRef>
              <c:f>Dimer!$B$33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D6-4187-8A0C-85B7FA161588}"/>
            </c:ext>
          </c:extLst>
        </c:ser>
        <c:ser>
          <c:idx val="4"/>
          <c:order val="4"/>
          <c:tx>
            <c:strRef>
              <c:f>Dimer!$B$38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Dimer!$C$40:$G$40</c:f>
              <c:numCache>
                <c:formatCode>0.00000</c:formatCode>
                <c:ptCount val="5"/>
                <c:pt idx="0">
                  <c:v>-5.4979999999886786E-3</c:v>
                </c:pt>
                <c:pt idx="1">
                  <c:v>-3.5880000000361179E-3</c:v>
                </c:pt>
                <c:pt idx="2">
                  <c:v>1.4469999998709682E-3</c:v>
                </c:pt>
                <c:pt idx="3">
                  <c:v>1.5409999998610147E-3</c:v>
                </c:pt>
                <c:pt idx="4">
                  <c:v>8.2920000002104643E-3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D6-4187-8A0C-85B7FA161588}"/>
            </c:ext>
          </c:extLst>
        </c:ser>
        <c:ser>
          <c:idx val="5"/>
          <c:order val="5"/>
          <c:tx>
            <c:strRef>
              <c:f>Dimer!$B$43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Dimer!$C$45:$G$45</c:f>
              <c:numCache>
                <c:formatCode>0.00000</c:formatCode>
                <c:ptCount val="5"/>
                <c:pt idx="0">
                  <c:v>-6.0969999999542779E-3</c:v>
                </c:pt>
                <c:pt idx="1">
                  <c:v>-4.4070000001283915E-3</c:v>
                </c:pt>
                <c:pt idx="2">
                  <c:v>4.2999999777748599E-5</c:v>
                </c:pt>
                <c:pt idx="3">
                  <c:v>1.2699999979304266E-4</c:v>
                </c:pt>
                <c:pt idx="4">
                  <c:v>6.0860000000957371E-3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D6-4187-8A0C-85B7FA161588}"/>
            </c:ext>
          </c:extLst>
        </c:ser>
        <c:ser>
          <c:idx val="6"/>
          <c:order val="6"/>
          <c:tx>
            <c:strRef>
              <c:f>Dimer!$B$48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Dimer!$C$50:$G$50</c:f>
              <c:numCache>
                <c:formatCode>0.00000</c:formatCode>
                <c:ptCount val="5"/>
                <c:pt idx="0">
                  <c:v>-1.6007000000172411E-2</c:v>
                </c:pt>
                <c:pt idx="1">
                  <c:v>-1.4147999999977401E-2</c:v>
                </c:pt>
                <c:pt idx="2">
                  <c:v>-9.1670000001613516E-3</c:v>
                </c:pt>
                <c:pt idx="3">
                  <c:v>-9.0720000000601431E-3</c:v>
                </c:pt>
                <c:pt idx="4">
                  <c:v>-2.2940000001199223E-3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6-4187-8A0C-85B7FA161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16624"/>
        <c:axId val="2006171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Dimer!$B$38</c15:sqref>
                        </c15:formulaRef>
                      </c:ext>
                    </c:extLst>
                    <c:strCache>
                      <c:ptCount val="1"/>
                      <c:pt idx="0">
                        <c:v>NC2_0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Dimer!$C$6:$G$6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163</c:v>
                      </c:pt>
                      <c:pt idx="1">
                        <c:v>200</c:v>
                      </c:pt>
                      <c:pt idx="2">
                        <c:v>298</c:v>
                      </c:pt>
                      <c:pt idx="3">
                        <c:v>300</c:v>
                      </c:pt>
                      <c:pt idx="4">
                        <c:v>433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Dimer!$C$35:$G$35</c15:sqref>
                        </c15:formulaRef>
                      </c:ext>
                    </c:extLst>
                    <c:numCache>
                      <c:formatCode>0.00000</c:formatCode>
                      <c:ptCount val="5"/>
                      <c:pt idx="0">
                        <c:v>-1.7947000000049229E-2</c:v>
                      </c:pt>
                      <c:pt idx="1">
                        <c:v>-1.6059999999924912E-2</c:v>
                      </c:pt>
                      <c:pt idx="2">
                        <c:v>-1.0945000000219807E-2</c:v>
                      </c:pt>
                      <c:pt idx="3">
                        <c:v>-1.0911000000078275E-2</c:v>
                      </c:pt>
                      <c:pt idx="4">
                        <c:v>-3.9409999997133127E-3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9D6-4187-8A0C-85B7FA161588}"/>
                  </c:ext>
                </c:extLst>
              </c15:ser>
            </c15:filteredScatterSeries>
          </c:ext>
        </c:extLst>
      </c:scatterChart>
      <c:valAx>
        <c:axId val="20061662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7184"/>
        <c:crosses val="autoZero"/>
        <c:crossBetween val="midCat"/>
      </c:valAx>
      <c:valAx>
        <c:axId val="2006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ZA" sz="1000" b="0" i="0" u="none" strike="noStrike" baseline="0">
                    <a:effectLst/>
                  </a:rPr>
                  <a:t>G /Hartree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Trend</a:t>
            </a:r>
            <a:r>
              <a:rPr lang="en-ZA" baseline="0"/>
              <a:t> in enegery differences with increasing temperature. (NOT the reaction)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Dimer!$B$7</c:f>
              <c:strCache>
                <c:ptCount val="1"/>
                <c:pt idx="0">
                  <c:v>Cellulose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Dimer!$J$7:$N$7</c:f>
              <c:numCache>
                <c:formatCode>0.00000</c:formatCode>
                <c:ptCount val="5"/>
                <c:pt idx="0">
                  <c:v>0</c:v>
                </c:pt>
                <c:pt idx="1">
                  <c:v>-7.9470000000583241E-3</c:v>
                </c:pt>
                <c:pt idx="2">
                  <c:v>-3.2877999999982421E-2</c:v>
                </c:pt>
                <c:pt idx="3">
                  <c:v>-3.3399000000144952E-2</c:v>
                </c:pt>
                <c:pt idx="4">
                  <c:v>-7.5577000000066619E-2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1-4995-B4C1-D1084D148032}"/>
            </c:ext>
          </c:extLst>
        </c:ser>
        <c:ser>
          <c:idx val="1"/>
          <c:order val="1"/>
          <c:tx>
            <c:strRef>
              <c:f>Dimer!$B$8</c:f>
              <c:strCache>
                <c:ptCount val="1"/>
                <c:pt idx="0">
                  <c:v>NO2+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Dimer!$J$8:$N$8</c:f>
              <c:numCache>
                <c:formatCode>0.00000</c:formatCode>
                <c:ptCount val="5"/>
                <c:pt idx="0">
                  <c:v>0</c:v>
                </c:pt>
                <c:pt idx="1">
                  <c:v>-2.7690000000006876E-3</c:v>
                </c:pt>
                <c:pt idx="2">
                  <c:v>-1.0501000000004979E-2</c:v>
                </c:pt>
                <c:pt idx="3">
                  <c:v>-1.0651999999993222E-2</c:v>
                </c:pt>
                <c:pt idx="4">
                  <c:v>-2.1852999999993017E-2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61-4995-B4C1-D1084D148032}"/>
            </c:ext>
          </c:extLst>
        </c:ser>
        <c:ser>
          <c:idx val="2"/>
          <c:order val="2"/>
          <c:tx>
            <c:strRef>
              <c:f>Dimer!$B$9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Dimer!$J$9:$N$9</c:f>
              <c:numCache>
                <c:formatCode>0.00000</c:formatCode>
                <c:ptCount val="5"/>
                <c:pt idx="0">
                  <c:v>0</c:v>
                </c:pt>
                <c:pt idx="1">
                  <c:v>-2.4230000000073915E-3</c:v>
                </c:pt>
                <c:pt idx="2">
                  <c:v>-9.2380000000105156E-3</c:v>
                </c:pt>
                <c:pt idx="3">
                  <c:v>-9.3710000000015725E-3</c:v>
                </c:pt>
                <c:pt idx="4">
                  <c:v>-1.9264000000006831E-2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61-4995-B4C1-D1084D148032}"/>
            </c:ext>
          </c:extLst>
        </c:ser>
        <c:ser>
          <c:idx val="3"/>
          <c:order val="3"/>
          <c:tx>
            <c:strRef>
              <c:f>Dimer!$B$10</c:f>
              <c:strCache>
                <c:ptCount val="1"/>
                <c:pt idx="0">
                  <c:v>H3O+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Dimer!$J$10:$N$10</c:f>
              <c:numCache>
                <c:formatCode>0.00000</c:formatCode>
                <c:ptCount val="5"/>
                <c:pt idx="0">
                  <c:v>0</c:v>
                </c:pt>
                <c:pt idx="1">
                  <c:v>-2.479999999991378E-3</c:v>
                </c:pt>
                <c:pt idx="2">
                  <c:v>-9.4589999999925567E-3</c:v>
                </c:pt>
                <c:pt idx="3">
                  <c:v>-9.5949999999902502E-3</c:v>
                </c:pt>
                <c:pt idx="4">
                  <c:v>-1.9766999999987434E-2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1-4995-B4C1-D1084D148032}"/>
            </c:ext>
          </c:extLst>
        </c:ser>
        <c:ser>
          <c:idx val="5"/>
          <c:order val="4"/>
          <c:tx>
            <c:strRef>
              <c:f>Dimer!$B$22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Dimer!$J$12:$N$12</c:f>
              <c:numCache>
                <c:formatCode>0.00000</c:formatCode>
                <c:ptCount val="5"/>
                <c:pt idx="0">
                  <c:v>0</c:v>
                </c:pt>
                <c:pt idx="1">
                  <c:v>-8.9189999998779967E-3</c:v>
                </c:pt>
                <c:pt idx="2">
                  <c:v>-3.6763999999948282E-2</c:v>
                </c:pt>
                <c:pt idx="3">
                  <c:v>-3.7343999999848165E-2</c:v>
                </c:pt>
                <c:pt idx="4">
                  <c:v>-8.4125999999969281E-2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61-4995-B4C1-D1084D148032}"/>
            </c:ext>
          </c:extLst>
        </c:ser>
        <c:ser>
          <c:idx val="6"/>
          <c:order val="5"/>
          <c:tx>
            <c:strRef>
              <c:f>Dimer!$B$28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Dimer!$J$13:$N$13</c:f>
              <c:numCache>
                <c:formatCode>0.00000</c:formatCode>
                <c:ptCount val="5"/>
                <c:pt idx="0">
                  <c:v>0</c:v>
                </c:pt>
                <c:pt idx="1">
                  <c:v>-8.3540000000539294E-3</c:v>
                </c:pt>
                <c:pt idx="2">
                  <c:v>-3.4701000000040949E-2</c:v>
                </c:pt>
                <c:pt idx="3">
                  <c:v>-3.5252000000127737E-2</c:v>
                </c:pt>
                <c:pt idx="4">
                  <c:v>-7.9999000000043452E-2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61-4995-B4C1-D1084D148032}"/>
            </c:ext>
          </c:extLst>
        </c:ser>
        <c:ser>
          <c:idx val="7"/>
          <c:order val="6"/>
          <c:tx>
            <c:strRef>
              <c:f>Dimer!$B$33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Dimer!$J$14:$N$14</c:f>
              <c:numCache>
                <c:formatCode>0.00000</c:formatCode>
                <c:ptCount val="5"/>
                <c:pt idx="0">
                  <c:v>0</c:v>
                </c:pt>
                <c:pt idx="1">
                  <c:v>-8.7719999999080756E-3</c:v>
                </c:pt>
                <c:pt idx="2">
                  <c:v>-3.6156000000119093E-2</c:v>
                </c:pt>
                <c:pt idx="3">
                  <c:v>-3.6790999999993801E-2</c:v>
                </c:pt>
                <c:pt idx="4">
                  <c:v>-8.2920999999942069E-2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61-4995-B4C1-D1084D148032}"/>
            </c:ext>
          </c:extLst>
        </c:ser>
        <c:ser>
          <c:idx val="8"/>
          <c:order val="7"/>
          <c:tx>
            <c:strRef>
              <c:f>Dimer!$B$38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Dimer!$J$15:$N$15</c:f>
              <c:numCache>
                <c:formatCode>0.00000</c:formatCode>
                <c:ptCount val="5"/>
                <c:pt idx="0">
                  <c:v>0</c:v>
                </c:pt>
                <c:pt idx="1">
                  <c:v>-8.7490000000798318E-3</c:v>
                </c:pt>
                <c:pt idx="2">
                  <c:v>-3.6213000000088869E-2</c:v>
                </c:pt>
                <c:pt idx="3">
                  <c:v>-3.6788000000115062E-2</c:v>
                </c:pt>
                <c:pt idx="4">
                  <c:v>-8.3137000000078842E-2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61-4995-B4C1-D1084D148032}"/>
            </c:ext>
          </c:extLst>
        </c:ser>
        <c:ser>
          <c:idx val="9"/>
          <c:order val="8"/>
          <c:tx>
            <c:strRef>
              <c:f>Dimer!$B$43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Dimer!$J$17:$N$17</c:f>
              <c:numCache>
                <c:formatCode>0.00000</c:formatCode>
                <c:ptCount val="5"/>
                <c:pt idx="0">
                  <c:v>0</c:v>
                </c:pt>
                <c:pt idx="1">
                  <c:v>-8.9690000002065062E-3</c:v>
                </c:pt>
                <c:pt idx="2">
                  <c:v>-3.7018000000216489E-2</c:v>
                </c:pt>
                <c:pt idx="3">
                  <c:v>-3.7603000000217435E-2</c:v>
                </c:pt>
                <c:pt idx="4">
                  <c:v>-8.4744000000000597E-2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61-4995-B4C1-D1084D148032}"/>
            </c:ext>
          </c:extLst>
        </c:ser>
        <c:ser>
          <c:idx val="10"/>
          <c:order val="9"/>
          <c:tx>
            <c:strRef>
              <c:f>Dimer!$B$48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Dimer!$J$18:$N$18</c:f>
              <c:numCache>
                <c:formatCode>0.00000</c:formatCode>
                <c:ptCount val="5"/>
                <c:pt idx="0">
                  <c:v>0</c:v>
                </c:pt>
                <c:pt idx="1">
                  <c:v>-8.7999999998373823E-3</c:v>
                </c:pt>
                <c:pt idx="2">
                  <c:v>-3.6317999999937456E-2</c:v>
                </c:pt>
                <c:pt idx="3">
                  <c:v>-3.6891999999852487E-2</c:v>
                </c:pt>
                <c:pt idx="4">
                  <c:v>-8.3213999999998123E-2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61-4995-B4C1-D1084D148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5024"/>
        <c:axId val="201187328"/>
      </c:scatterChart>
      <c:valAx>
        <c:axId val="20062502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87328"/>
        <c:crosses val="autoZero"/>
        <c:crossBetween val="midCat"/>
      </c:valAx>
      <c:valAx>
        <c:axId val="2011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1327646544182"/>
          <c:y val="0.85781803286248126"/>
          <c:w val="0.83586727467398736"/>
          <c:h val="0.14218196713751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Δ</a:t>
            </a:r>
            <a:r>
              <a:rPr lang="en-ZA" sz="1400" b="0" i="0" u="none" strike="noStrike" baseline="0">
                <a:effectLst/>
              </a:rPr>
              <a:t>G of nitration of </a:t>
            </a:r>
            <a:r>
              <a:rPr lang="en-ZA" baseline="0"/>
              <a:t>dimers at six nitration sites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Dimer!$B$22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Dimer!$C$25:$G$25</c:f>
              <c:numCache>
                <c:formatCode>0.00000</c:formatCode>
                <c:ptCount val="5"/>
                <c:pt idx="0">
                  <c:v>-1.2114000000110536E-2</c:v>
                </c:pt>
                <c:pt idx="1">
                  <c:v>-1.0373999999956141E-2</c:v>
                </c:pt>
                <c:pt idx="2">
                  <c:v>-5.7200000001103035E-3</c:v>
                </c:pt>
                <c:pt idx="3">
                  <c:v>-5.6309999999939464E-3</c:v>
                </c:pt>
                <c:pt idx="4">
                  <c:v>6.8699999997079431E-4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E-4DEE-B50F-0E8117EC6F9E}"/>
            </c:ext>
          </c:extLst>
        </c:ser>
        <c:ser>
          <c:idx val="1"/>
          <c:order val="1"/>
          <c:tx>
            <c:strRef>
              <c:f>Dimer!$B$28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Dimer!$C$30:$G$30</c:f>
              <c:numCache>
                <c:formatCode>0.00000</c:formatCode>
                <c:ptCount val="5"/>
                <c:pt idx="0">
                  <c:v>-1.3834999999971842E-2</c:v>
                </c:pt>
                <c:pt idx="1">
                  <c:v>-1.1529999999993379E-2</c:v>
                </c:pt>
                <c:pt idx="2">
                  <c:v>-5.3780000000642758E-3</c:v>
                </c:pt>
                <c:pt idx="3">
                  <c:v>-5.2600000001348235E-3</c:v>
                </c:pt>
                <c:pt idx="4">
                  <c:v>3.0930000000353175E-3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E-4DEE-B50F-0E8117EC6F9E}"/>
            </c:ext>
          </c:extLst>
        </c:ser>
        <c:ser>
          <c:idx val="2"/>
          <c:order val="2"/>
          <c:tx>
            <c:strRef>
              <c:f>Dimer!$B$33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AE-4DEE-B50F-0E8117EC6F9E}"/>
            </c:ext>
          </c:extLst>
        </c:ser>
        <c:ser>
          <c:idx val="4"/>
          <c:order val="4"/>
          <c:tx>
            <c:strRef>
              <c:f>Dimer!$B$38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Dimer!$C$40:$G$40</c:f>
              <c:numCache>
                <c:formatCode>0.00000</c:formatCode>
                <c:ptCount val="5"/>
                <c:pt idx="0">
                  <c:v>-5.4979999999886786E-3</c:v>
                </c:pt>
                <c:pt idx="1">
                  <c:v>-3.5880000000361179E-3</c:v>
                </c:pt>
                <c:pt idx="2">
                  <c:v>1.4469999998709682E-3</c:v>
                </c:pt>
                <c:pt idx="3">
                  <c:v>1.5409999998610147E-3</c:v>
                </c:pt>
                <c:pt idx="4">
                  <c:v>8.2920000002104643E-3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AE-4DEE-B50F-0E8117EC6F9E}"/>
            </c:ext>
          </c:extLst>
        </c:ser>
        <c:ser>
          <c:idx val="5"/>
          <c:order val="5"/>
          <c:tx>
            <c:strRef>
              <c:f>Dimer!$B$43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Dimer!$C$45:$G$45</c:f>
              <c:numCache>
                <c:formatCode>0.00000</c:formatCode>
                <c:ptCount val="5"/>
                <c:pt idx="0">
                  <c:v>-6.0969999999542779E-3</c:v>
                </c:pt>
                <c:pt idx="1">
                  <c:v>-4.4070000001283915E-3</c:v>
                </c:pt>
                <c:pt idx="2">
                  <c:v>4.2999999777748599E-5</c:v>
                </c:pt>
                <c:pt idx="3">
                  <c:v>1.2699999979304266E-4</c:v>
                </c:pt>
                <c:pt idx="4">
                  <c:v>6.0860000000957371E-3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AE-4DEE-B50F-0E8117EC6F9E}"/>
            </c:ext>
          </c:extLst>
        </c:ser>
        <c:ser>
          <c:idx val="6"/>
          <c:order val="6"/>
          <c:tx>
            <c:strRef>
              <c:f>Dimer!$B$48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Dimer!$C$6:$G$6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Dimer!$C$50:$G$50</c:f>
              <c:numCache>
                <c:formatCode>0.00000</c:formatCode>
                <c:ptCount val="5"/>
                <c:pt idx="0">
                  <c:v>-1.6007000000172411E-2</c:v>
                </c:pt>
                <c:pt idx="1">
                  <c:v>-1.4147999999977401E-2</c:v>
                </c:pt>
                <c:pt idx="2">
                  <c:v>-9.1670000001613516E-3</c:v>
                </c:pt>
                <c:pt idx="3">
                  <c:v>-9.0720000000601431E-3</c:v>
                </c:pt>
                <c:pt idx="4">
                  <c:v>-2.2940000001199223E-3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AE-4DEE-B50F-0E8117EC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3488"/>
        <c:axId val="20119404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Dimer!$B$38</c15:sqref>
                        </c15:formulaRef>
                      </c:ext>
                    </c:extLst>
                    <c:strCache>
                      <c:ptCount val="1"/>
                      <c:pt idx="0">
                        <c:v>NC2_0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Dimer!$C$6:$G$6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163</c:v>
                      </c:pt>
                      <c:pt idx="1">
                        <c:v>200</c:v>
                      </c:pt>
                      <c:pt idx="2">
                        <c:v>298</c:v>
                      </c:pt>
                      <c:pt idx="3">
                        <c:v>300</c:v>
                      </c:pt>
                      <c:pt idx="4">
                        <c:v>433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Dimer!$C$35:$G$35</c15:sqref>
                        </c15:formulaRef>
                      </c:ext>
                    </c:extLst>
                    <c:numCache>
                      <c:formatCode>0.00000</c:formatCode>
                      <c:ptCount val="5"/>
                      <c:pt idx="0">
                        <c:v>-1.7947000000049229E-2</c:v>
                      </c:pt>
                      <c:pt idx="1">
                        <c:v>-1.6059999999924912E-2</c:v>
                      </c:pt>
                      <c:pt idx="2">
                        <c:v>-1.0945000000219807E-2</c:v>
                      </c:pt>
                      <c:pt idx="3">
                        <c:v>-1.0911000000078275E-2</c:v>
                      </c:pt>
                      <c:pt idx="4">
                        <c:v>-3.9409999997133127E-3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1AE-4DEE-B50F-0E8117EC6F9E}"/>
                  </c:ext>
                </c:extLst>
              </c15:ser>
            </c15:filteredScatterSeries>
          </c:ext>
        </c:extLst>
      </c:scatterChart>
      <c:valAx>
        <c:axId val="201193488"/>
        <c:scaling>
          <c:orientation val="minMax"/>
          <c:max val="325"/>
          <c:min val="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4048"/>
        <c:crosses val="autoZero"/>
        <c:crossBetween val="midCat"/>
      </c:valAx>
      <c:valAx>
        <c:axId val="201194048"/>
        <c:scaling>
          <c:orientation val="minMax"/>
          <c:max val="5.000000000000001E-3"/>
          <c:min val="-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ZA" sz="1000" b="0" i="0" u="none" strike="noStrike" baseline="0">
                    <a:effectLst/>
                  </a:rPr>
                  <a:t>G / Hatree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Trend</a:t>
            </a:r>
            <a:r>
              <a:rPr lang="en-ZA" baseline="0"/>
              <a:t> in enegery differences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6780979186727"/>
          <c:y val="0.20463976690799929"/>
          <c:w val="0.79930035540779609"/>
          <c:h val="0.68386496075000403"/>
        </c:manualLayout>
      </c:layout>
      <c:scatterChart>
        <c:scatterStyle val="lineMarker"/>
        <c:varyColors val="0"/>
        <c:ser>
          <c:idx val="0"/>
          <c:order val="0"/>
          <c:tx>
            <c:strRef>
              <c:f>Dimer!$B$7</c:f>
              <c:strCache>
                <c:ptCount val="1"/>
                <c:pt idx="0">
                  <c:v>Cellulose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Dimer!$J$7:$N$7</c:f>
              <c:numCache>
                <c:formatCode>0.00000</c:formatCode>
                <c:ptCount val="5"/>
                <c:pt idx="0">
                  <c:v>0</c:v>
                </c:pt>
                <c:pt idx="1">
                  <c:v>-7.9470000000583241E-3</c:v>
                </c:pt>
                <c:pt idx="2">
                  <c:v>-3.2877999999982421E-2</c:v>
                </c:pt>
                <c:pt idx="3">
                  <c:v>-3.3399000000144952E-2</c:v>
                </c:pt>
                <c:pt idx="4">
                  <c:v>-7.5577000000066619E-2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A-4429-B682-54DB6B84D97A}"/>
            </c:ext>
          </c:extLst>
        </c:ser>
        <c:ser>
          <c:idx val="1"/>
          <c:order val="1"/>
          <c:tx>
            <c:strRef>
              <c:f>Dimer!$B$8</c:f>
              <c:strCache>
                <c:ptCount val="1"/>
                <c:pt idx="0">
                  <c:v>NO2+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Dimer!$J$8:$N$8</c:f>
              <c:numCache>
                <c:formatCode>0.00000</c:formatCode>
                <c:ptCount val="5"/>
                <c:pt idx="0">
                  <c:v>0</c:v>
                </c:pt>
                <c:pt idx="1">
                  <c:v>-2.7690000000006876E-3</c:v>
                </c:pt>
                <c:pt idx="2">
                  <c:v>-1.0501000000004979E-2</c:v>
                </c:pt>
                <c:pt idx="3">
                  <c:v>-1.0651999999993222E-2</c:v>
                </c:pt>
                <c:pt idx="4">
                  <c:v>-2.1852999999993017E-2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A-4429-B682-54DB6B84D97A}"/>
            </c:ext>
          </c:extLst>
        </c:ser>
        <c:ser>
          <c:idx val="2"/>
          <c:order val="2"/>
          <c:tx>
            <c:strRef>
              <c:f>Dimer!$B$9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Dimer!$J$9:$N$9</c:f>
              <c:numCache>
                <c:formatCode>0.00000</c:formatCode>
                <c:ptCount val="5"/>
                <c:pt idx="0">
                  <c:v>0</c:v>
                </c:pt>
                <c:pt idx="1">
                  <c:v>-2.4230000000073915E-3</c:v>
                </c:pt>
                <c:pt idx="2">
                  <c:v>-9.2380000000105156E-3</c:v>
                </c:pt>
                <c:pt idx="3">
                  <c:v>-9.3710000000015725E-3</c:v>
                </c:pt>
                <c:pt idx="4">
                  <c:v>-1.9264000000006831E-2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AA-4429-B682-54DB6B84D97A}"/>
            </c:ext>
          </c:extLst>
        </c:ser>
        <c:ser>
          <c:idx val="3"/>
          <c:order val="3"/>
          <c:tx>
            <c:strRef>
              <c:f>Dimer!$B$10</c:f>
              <c:strCache>
                <c:ptCount val="1"/>
                <c:pt idx="0">
                  <c:v>H3O+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Dimer!$J$10:$N$10</c:f>
              <c:numCache>
                <c:formatCode>0.00000</c:formatCode>
                <c:ptCount val="5"/>
                <c:pt idx="0">
                  <c:v>0</c:v>
                </c:pt>
                <c:pt idx="1">
                  <c:v>-2.479999999991378E-3</c:v>
                </c:pt>
                <c:pt idx="2">
                  <c:v>-9.4589999999925567E-3</c:v>
                </c:pt>
                <c:pt idx="3">
                  <c:v>-9.5949999999902502E-3</c:v>
                </c:pt>
                <c:pt idx="4">
                  <c:v>-1.9766999999987434E-2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AA-4429-B682-54DB6B84D97A}"/>
            </c:ext>
          </c:extLst>
        </c:ser>
        <c:ser>
          <c:idx val="5"/>
          <c:order val="4"/>
          <c:tx>
            <c:strRef>
              <c:f>Dimer!$B$22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Dimer!$J$12:$N$12</c:f>
              <c:numCache>
                <c:formatCode>0.00000</c:formatCode>
                <c:ptCount val="5"/>
                <c:pt idx="0">
                  <c:v>0</c:v>
                </c:pt>
                <c:pt idx="1">
                  <c:v>-8.9189999998779967E-3</c:v>
                </c:pt>
                <c:pt idx="2">
                  <c:v>-3.6763999999948282E-2</c:v>
                </c:pt>
                <c:pt idx="3">
                  <c:v>-3.7343999999848165E-2</c:v>
                </c:pt>
                <c:pt idx="4">
                  <c:v>-8.4125999999969281E-2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AA-4429-B682-54DB6B84D97A}"/>
            </c:ext>
          </c:extLst>
        </c:ser>
        <c:ser>
          <c:idx val="6"/>
          <c:order val="5"/>
          <c:tx>
            <c:strRef>
              <c:f>Dimer!$B$28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Dimer!$J$13:$N$13</c:f>
              <c:numCache>
                <c:formatCode>0.00000</c:formatCode>
                <c:ptCount val="5"/>
                <c:pt idx="0">
                  <c:v>0</c:v>
                </c:pt>
                <c:pt idx="1">
                  <c:v>-8.3540000000539294E-3</c:v>
                </c:pt>
                <c:pt idx="2">
                  <c:v>-3.4701000000040949E-2</c:v>
                </c:pt>
                <c:pt idx="3">
                  <c:v>-3.5252000000127737E-2</c:v>
                </c:pt>
                <c:pt idx="4">
                  <c:v>-7.9999000000043452E-2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AA-4429-B682-54DB6B84D97A}"/>
            </c:ext>
          </c:extLst>
        </c:ser>
        <c:ser>
          <c:idx val="7"/>
          <c:order val="6"/>
          <c:tx>
            <c:strRef>
              <c:f>Dimer!$B$33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Dimer!$J$14:$N$14</c:f>
              <c:numCache>
                <c:formatCode>0.00000</c:formatCode>
                <c:ptCount val="5"/>
                <c:pt idx="0">
                  <c:v>0</c:v>
                </c:pt>
                <c:pt idx="1">
                  <c:v>-8.7719999999080756E-3</c:v>
                </c:pt>
                <c:pt idx="2">
                  <c:v>-3.6156000000119093E-2</c:v>
                </c:pt>
                <c:pt idx="3">
                  <c:v>-3.6790999999993801E-2</c:v>
                </c:pt>
                <c:pt idx="4">
                  <c:v>-8.2920999999942069E-2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AA-4429-B682-54DB6B84D97A}"/>
            </c:ext>
          </c:extLst>
        </c:ser>
        <c:ser>
          <c:idx val="8"/>
          <c:order val="7"/>
          <c:tx>
            <c:strRef>
              <c:f>Dimer!$B$38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Dimer!$J$15:$N$15</c:f>
              <c:numCache>
                <c:formatCode>0.00000</c:formatCode>
                <c:ptCount val="5"/>
                <c:pt idx="0">
                  <c:v>0</c:v>
                </c:pt>
                <c:pt idx="1">
                  <c:v>-8.7490000000798318E-3</c:v>
                </c:pt>
                <c:pt idx="2">
                  <c:v>-3.6213000000088869E-2</c:v>
                </c:pt>
                <c:pt idx="3">
                  <c:v>-3.6788000000115062E-2</c:v>
                </c:pt>
                <c:pt idx="4">
                  <c:v>-8.3137000000078842E-2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AA-4429-B682-54DB6B84D97A}"/>
            </c:ext>
          </c:extLst>
        </c:ser>
        <c:ser>
          <c:idx val="9"/>
          <c:order val="8"/>
          <c:tx>
            <c:strRef>
              <c:f>Dimer!$B$43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Dimer!$J$17:$N$17</c:f>
              <c:numCache>
                <c:formatCode>0.00000</c:formatCode>
                <c:ptCount val="5"/>
                <c:pt idx="0">
                  <c:v>0</c:v>
                </c:pt>
                <c:pt idx="1">
                  <c:v>-8.9690000002065062E-3</c:v>
                </c:pt>
                <c:pt idx="2">
                  <c:v>-3.7018000000216489E-2</c:v>
                </c:pt>
                <c:pt idx="3">
                  <c:v>-3.7603000000217435E-2</c:v>
                </c:pt>
                <c:pt idx="4">
                  <c:v>-8.4744000000000597E-2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AA-4429-B682-54DB6B84D97A}"/>
            </c:ext>
          </c:extLst>
        </c:ser>
        <c:ser>
          <c:idx val="10"/>
          <c:order val="9"/>
          <c:tx>
            <c:strRef>
              <c:f>Dimer!$B$48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Dimer!$J$6:$N$6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Dimer!$J$18:$N$18</c:f>
              <c:numCache>
                <c:formatCode>0.00000</c:formatCode>
                <c:ptCount val="5"/>
                <c:pt idx="0">
                  <c:v>0</c:v>
                </c:pt>
                <c:pt idx="1">
                  <c:v>-8.7999999998373823E-3</c:v>
                </c:pt>
                <c:pt idx="2">
                  <c:v>-3.6317999999937456E-2</c:v>
                </c:pt>
                <c:pt idx="3">
                  <c:v>-3.6891999999852487E-2</c:v>
                </c:pt>
                <c:pt idx="4">
                  <c:v>-8.3213999999998123E-2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AA-4429-B682-54DB6B84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5024"/>
        <c:axId val="201187328"/>
      </c:scatterChart>
      <c:valAx>
        <c:axId val="200625024"/>
        <c:scaling>
          <c:orientation val="minMax"/>
          <c:max val="31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87328"/>
        <c:crosses val="autoZero"/>
        <c:crossBetween val="midCat"/>
      </c:valAx>
      <c:valAx>
        <c:axId val="201187328"/>
        <c:scaling>
          <c:orientation val="minMax"/>
          <c:max val="-7.0000000000000019E-3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1327646544182"/>
          <c:y val="0.91261519393409141"/>
          <c:w val="0.83586727467398736"/>
          <c:h val="8.7385086071736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</xdr:row>
      <xdr:rowOff>42862</xdr:rowOff>
    </xdr:from>
    <xdr:to>
      <xdr:col>21</xdr:col>
      <xdr:colOff>600075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542925</xdr:colOff>
      <xdr:row>13</xdr:row>
      <xdr:rowOff>152400</xdr:rowOff>
    </xdr:from>
    <xdr:to>
      <xdr:col>10</xdr:col>
      <xdr:colOff>561975</xdr:colOff>
      <xdr:row>33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35</xdr:row>
      <xdr:rowOff>0</xdr:rowOff>
    </xdr:from>
    <xdr:to>
      <xdr:col>11</xdr:col>
      <xdr:colOff>104775</xdr:colOff>
      <xdr:row>54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11</xdr:col>
      <xdr:colOff>247650</xdr:colOff>
      <xdr:row>75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176213</xdr:rowOff>
    </xdr:from>
    <xdr:to>
      <xdr:col>24</xdr:col>
      <xdr:colOff>390525</xdr:colOff>
      <xdr:row>22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581025</xdr:colOff>
      <xdr:row>26</xdr:row>
      <xdr:rowOff>104775</xdr:rowOff>
    </xdr:from>
    <xdr:to>
      <xdr:col>14</xdr:col>
      <xdr:colOff>38100</xdr:colOff>
      <xdr:row>56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63</xdr:row>
      <xdr:rowOff>0</xdr:rowOff>
    </xdr:from>
    <xdr:to>
      <xdr:col>11</xdr:col>
      <xdr:colOff>362857</xdr:colOff>
      <xdr:row>84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57</xdr:row>
      <xdr:rowOff>121920</xdr:rowOff>
    </xdr:from>
    <xdr:to>
      <xdr:col>7</xdr:col>
      <xdr:colOff>518160</xdr:colOff>
      <xdr:row>72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18</xdr:row>
      <xdr:rowOff>175260</xdr:rowOff>
    </xdr:from>
    <xdr:to>
      <xdr:col>14</xdr:col>
      <xdr:colOff>594360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259080</xdr:colOff>
      <xdr:row>10</xdr:row>
      <xdr:rowOff>38100</xdr:rowOff>
    </xdr:from>
    <xdr:to>
      <xdr:col>19</xdr:col>
      <xdr:colOff>414528</xdr:colOff>
      <xdr:row>15</xdr:row>
      <xdr:rowOff>38100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854940" y="1882140"/>
          <a:ext cx="155448" cy="914400"/>
        </a:xfrm>
        <a:prstGeom prst="leftBrac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373380</xdr:colOff>
      <xdr:row>8</xdr:row>
      <xdr:rowOff>137160</xdr:rowOff>
    </xdr:from>
    <xdr:to>
      <xdr:col>22</xdr:col>
      <xdr:colOff>518160</xdr:colOff>
      <xdr:row>17</xdr:row>
      <xdr:rowOff>167640</xdr:rowOff>
    </xdr:to>
    <xdr:sp macro="" textlink="">
      <xdr:nvSpPr>
        <xdr:cNvPr id="6" name="Left Brac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4866620" y="1607820"/>
          <a:ext cx="144780" cy="1684020"/>
        </a:xfrm>
        <a:prstGeom prst="leftBrac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661145</xdr:colOff>
      <xdr:row>23</xdr:row>
      <xdr:rowOff>13247</xdr:rowOff>
    </xdr:from>
    <xdr:to>
      <xdr:col>17</xdr:col>
      <xdr:colOff>529231</xdr:colOff>
      <xdr:row>44</xdr:row>
      <xdr:rowOff>52027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1759</xdr:colOff>
      <xdr:row>1</xdr:row>
      <xdr:rowOff>56029</xdr:rowOff>
    </xdr:from>
    <xdr:to>
      <xdr:col>20</xdr:col>
      <xdr:colOff>0</xdr:colOff>
      <xdr:row>20</xdr:row>
      <xdr:rowOff>122358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672352</xdr:colOff>
      <xdr:row>47</xdr:row>
      <xdr:rowOff>11206</xdr:rowOff>
    </xdr:from>
    <xdr:to>
      <xdr:col>17</xdr:col>
      <xdr:colOff>537397</xdr:colOff>
      <xdr:row>68</xdr:row>
      <xdr:rowOff>49986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190500</xdr:colOff>
      <xdr:row>1</xdr:row>
      <xdr:rowOff>1</xdr:rowOff>
    </xdr:from>
    <xdr:to>
      <xdr:col>25</xdr:col>
      <xdr:colOff>352029</xdr:colOff>
      <xdr:row>19</xdr:row>
      <xdr:rowOff>132565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180975</xdr:rowOff>
    </xdr:from>
    <xdr:to>
      <xdr:col>10</xdr:col>
      <xdr:colOff>371475</xdr:colOff>
      <xdr:row>52</xdr:row>
      <xdr:rowOff>57292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5475"/>
          <a:ext cx="7419975" cy="42578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114300</xdr:rowOff>
    </xdr:from>
    <xdr:to>
      <xdr:col>10</xdr:col>
      <xdr:colOff>19050</xdr:colOff>
      <xdr:row>86</xdr:row>
      <xdr:rowOff>41483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34800"/>
          <a:ext cx="7067550" cy="46896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114299</xdr:rowOff>
    </xdr:to>
    <xdr:sp macro="" textlink="">
      <xdr:nvSpPr>
        <xdr:cNvPr id="6146" name="AutoShape 2" descr="https://attachment.outlook.office.net/owa/SantosCarballalD@cardiff.ac.uk/service.svc/s/GetFileAttachment?id=AAMkADBjNWQwOWEzLWYyODktNDBlMi1iNzdlLTRkYTEwZjk0ZjNlNwBGAAAAAADbEq2cX6jMTJVsCPQb3WVxBwA%2B3gZGxynuT6xlBhlt%2FAxYAAAAAAEMAAA7hVNzEiSeR5lgHvmXR3EkAAAoxd6GAAABEgAQADvVq7BYasRLgsRSWxWIwMs%3D&amp;X-OWA-CANARY=xRHmc__470ONEvrPfHmBCRA5A-QWmtUY7juFEI0srKLOzUH85WOG-EQ-mg_3ZENPfbKNwIo7klM.&amp;token=eyJ0eXAiOiJKV1QiLCJhbGciOiJSUzI1NiIsIng1dCI6IkJnRDU5blJpQnpmbk5BVGloOFJhZ1l5M3pyZyJ9.eyJ2ZXIiOiJFeGNoYW5nZS5DYWxsYmFjay5WMSIsImFwcGN0eHNlbmRlciI6Ik93YURvd25sb2FkQGJkYjc0YjMwLTk1NjgtNDg1Ni1iZGJmLTA2NzU5Nzc4ZmNiYyIsImFwcGN0eCI6IntcIm1zZXhjaHByb3RcIjpcIm93YVwiLFwicHJpbWFyeXNpZFwiOlwiUy0xLTUtMjEtMzUyNTU2MTgwMS0zMzM2NzY3Ni0xNTE1NjM3NzkxLTk5NDY4MTdcIixcInB1aWRcIjpcIjExNTM4MzYyOTY0MDUxMDEzNThcIixcIm9pZFwiOlwiYWUwYjk3MzYtZjljMS00MTY1LWExMDEtNDJiOTcwZTcwYmJkXCIsXCJzY29wZVwiOlwiT3dhRG93bmxvYWRcIn0iLCJpc3MiOiIwMDAwMDAwMi0wMDAwLTBmZjEtY2UwMC0wMDAwMDAwMDAwMDBAYmRiNzRiMzAtOTU2OC00ODU2LWJkYmYtMDY3NTk3NzhmY2JjIiwiYXVkIjoiMDAwMDAwMDItMDAwMC0wZmYxLWNlMDAtMDAwMDAwMDAwMDAwL2F0dGFjaG1lbnQub3V0bG9vay5vZmZpY2UubmV0QGJkYjc0YjMwLTk1NjgtNDg1Ni1iZGJmLTA2NzU5Nzc4ZmNiYyIsImV4cCI6MTUyMjgzODIzMSwibmJmIjoxNTIyODM3NjMxfQ.K4v36hB2fE88lBm_Rp9m5sB6hQHE55UQrPGo0BVtA0A0M9N7Rttk4y_ErmDitpt60JmmU3bRtsHnwkaRY4WpnB-RwW_geBD8NzMwhNYQYRSVg8zDNM61cMaH_YEBTQGBvW7WI2mrRaDYJHuYGHNFLmvExGXEOfdfEAyDIoI0glR2WqZ0gbBb6ymM3DSlqjrq3j6LO23B9ioSKx3_wcUbBZzbWfpppveDzy56d8KIcVx9qyMUP_d_KDeb6FSoV3M3lFcQM4dV6pUeT7dP1GOdFeZR3STcMaBLemAUTUmAYQpa0jv7_p_xt9v7efjlvWqIHgZi_kZAvFp6JL7Q7pCUnQ&amp;owa=outlook.office.com&amp;isImagePreview=True">
          <a:extLst>
            <a:ext uri="{FF2B5EF4-FFF2-40B4-BE49-F238E27FC236}">
              <a16:creationId xmlns:a16="http://schemas.microsoft.com/office/drawing/2014/main" id="{00000000-0008-0000-06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4019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114299</xdr:rowOff>
    </xdr:to>
    <xdr:sp macro="" textlink="">
      <xdr:nvSpPr>
        <xdr:cNvPr id="6147" name="AutoShape 3" descr="https://attachment.outlook.office.net/owa/SantosCarballalD@cardiff.ac.uk/service.svc/s/GetFileAttachment?id=AAMkADBjNWQwOWEzLWYyODktNDBlMi1iNzdlLTRkYTEwZjk0ZjNlNwBGAAAAAADbEq2cX6jMTJVsCPQb3WVxBwA%2B3gZGxynuT6xlBhlt%2FAxYAAAAAAEMAAA7hVNzEiSeR5lgHvmXR3EkAAAoxd6GAAABEgAQADvVq7BYasRLgsRSWxWIwMs%3D&amp;X-OWA-CANARY=xRHmc__470ONEvrPfHmBCRA5A-QWmtUY7juFEI0srKLOzUH85WOG-EQ-mg_3ZENPfbKNwIo7klM.&amp;token=eyJ0eXAiOiJKV1QiLCJhbGciOiJSUzI1NiIsIng1dCI6IkJnRDU5blJpQnpmbk5BVGloOFJhZ1l5M3pyZyJ9.eyJ2ZXIiOiJFeGNoYW5nZS5DYWxsYmFjay5WMSIsImFwcGN0eHNlbmRlciI6Ik93YURvd25sb2FkQGJkYjc0YjMwLTk1NjgtNDg1Ni1iZGJmLTA2NzU5Nzc4ZmNiYyIsImFwcGN0eCI6IntcIm1zZXhjaHByb3RcIjpcIm93YVwiLFwicHJpbWFyeXNpZFwiOlwiUy0xLTUtMjEtMzUyNTU2MTgwMS0zMzM2NzY3Ni0xNTE1NjM3NzkxLTk5NDY4MTdcIixcInB1aWRcIjpcIjExNTM4MzYyOTY0MDUxMDEzNThcIixcIm9pZFwiOlwiYWUwYjk3MzYtZjljMS00MTY1LWExMDEtNDJiOTcwZTcwYmJkXCIsXCJzY29wZVwiOlwiT3dhRG93bmxvYWRcIn0iLCJpc3MiOiIwMDAwMDAwMi0wMDAwLTBmZjEtY2UwMC0wMDAwMDAwMDAwMDBAYmRiNzRiMzAtOTU2OC00ODU2LWJkYmYtMDY3NTk3NzhmY2JjIiwiYXVkIjoiMDAwMDAwMDItMDAwMC0wZmYxLWNlMDAtMDAwMDAwMDAwMDAwL2F0dGFjaG1lbnQub3V0bG9vay5vZmZpY2UubmV0QGJkYjc0YjMwLTk1NjgtNDg1Ni1iZGJmLTA2NzU5Nzc4ZmNiYyIsImV4cCI6MTUyMjgzODIzMSwibmJmIjoxNTIyODM3NjMxfQ.K4v36hB2fE88lBm_Rp9m5sB6hQHE55UQrPGo0BVtA0A0M9N7Rttk4y_ErmDitpt60JmmU3bRtsHnwkaRY4WpnB-RwW_geBD8NzMwhNYQYRSVg8zDNM61cMaH_YEBTQGBvW7WI2mrRaDYJHuYGHNFLmvExGXEOfdfEAyDIoI0glR2WqZ0gbBb6ymM3DSlqjrq3j6LO23B9ioSKx3_wcUbBZzbWfpppveDzy56d8KIcVx9qyMUP_d_KDeb6FSoV3M3lFcQM4dV6pUeT7dP1GOdFeZR3STcMaBLemAUTUmAYQpa0jv7_p_xt9v7efjlvWqIHgZi_kZAvFp6JL7Q7pCUnQ&amp;owa=outlook.office.com&amp;isImagePreview=True">
          <a:extLst>
            <a:ext uri="{FF2B5EF4-FFF2-40B4-BE49-F238E27FC236}">
              <a16:creationId xmlns:a16="http://schemas.microsoft.com/office/drawing/2014/main" id="{00000000-0008-0000-06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4019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133349</xdr:rowOff>
    </xdr:from>
    <xdr:to>
      <xdr:col>1</xdr:col>
      <xdr:colOff>1538790</xdr:colOff>
      <xdr:row>22</xdr:row>
      <xdr:rowOff>157998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9849"/>
          <a:ext cx="4167690" cy="9771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4</xdr:col>
          <xdr:colOff>3289300</xdr:colOff>
          <xdr:row>40</xdr:row>
          <xdr:rowOff>171450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4</xdr:col>
          <xdr:colOff>3575050</xdr:colOff>
          <xdr:row>56</xdr:row>
          <xdr:rowOff>19050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6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G21" sqref="G21"/>
    </sheetView>
  </sheetViews>
  <sheetFormatPr defaultRowHeight="14.5" x14ac:dyDescent="0.35"/>
  <cols>
    <col min="1" max="1" width="7" bestFit="1" customWidth="1"/>
    <col min="2" max="2" width="11.81640625" bestFit="1" customWidth="1"/>
    <col min="3" max="3" width="27.26953125" style="7" bestFit="1" customWidth="1"/>
  </cols>
  <sheetData>
    <row r="1" spans="1:5" ht="16.5" x14ac:dyDescent="0.35">
      <c r="A1" t="s">
        <v>1</v>
      </c>
      <c r="E1" s="9" t="s">
        <v>79</v>
      </c>
    </row>
    <row r="2" spans="1:5" x14ac:dyDescent="0.35">
      <c r="A2" t="s">
        <v>72</v>
      </c>
      <c r="B2" t="s">
        <v>73</v>
      </c>
      <c r="C2" s="7" t="s">
        <v>74</v>
      </c>
      <c r="D2" t="s">
        <v>75</v>
      </c>
    </row>
    <row r="3" spans="1:5" x14ac:dyDescent="0.35">
      <c r="A3">
        <v>100</v>
      </c>
      <c r="B3">
        <v>445.9</v>
      </c>
      <c r="C3" s="7">
        <v>241.63</v>
      </c>
      <c r="D3">
        <v>13.19</v>
      </c>
    </row>
    <row r="4" spans="1:5" x14ac:dyDescent="0.35">
      <c r="A4">
        <v>200</v>
      </c>
      <c r="B4">
        <v>660.68</v>
      </c>
      <c r="C4" s="7">
        <v>385.84</v>
      </c>
      <c r="D4">
        <v>45</v>
      </c>
    </row>
    <row r="5" spans="1:5" x14ac:dyDescent="0.35">
      <c r="A5">
        <v>298.14999999999998</v>
      </c>
      <c r="B5">
        <v>838.58</v>
      </c>
      <c r="C5" s="7">
        <v>515.70000000000005</v>
      </c>
      <c r="D5">
        <v>89.15</v>
      </c>
    </row>
    <row r="6" spans="1:5" x14ac:dyDescent="0.35">
      <c r="A6">
        <v>300</v>
      </c>
      <c r="B6">
        <v>841.78</v>
      </c>
      <c r="C6" s="7">
        <v>518.25</v>
      </c>
      <c r="D6">
        <v>90.11</v>
      </c>
    </row>
    <row r="7" spans="1:5" x14ac:dyDescent="0.35">
      <c r="A7">
        <v>400</v>
      </c>
      <c r="B7">
        <v>1009.74</v>
      </c>
      <c r="C7" s="7">
        <v>655.13</v>
      </c>
      <c r="D7">
        <v>148.82</v>
      </c>
    </row>
    <row r="8" spans="1:5" x14ac:dyDescent="0.35">
      <c r="A8">
        <v>500</v>
      </c>
      <c r="B8">
        <v>1169.57</v>
      </c>
      <c r="C8" s="7">
        <v>778.88</v>
      </c>
      <c r="D8">
        <v>220.68</v>
      </c>
    </row>
    <row r="9" spans="1:5" x14ac:dyDescent="0.35">
      <c r="A9">
        <v>600</v>
      </c>
      <c r="B9">
        <v>1321.06</v>
      </c>
      <c r="C9" s="7">
        <v>882.73</v>
      </c>
      <c r="D9">
        <v>303.93</v>
      </c>
    </row>
    <row r="10" spans="1:5" x14ac:dyDescent="0.35">
      <c r="A10">
        <v>700</v>
      </c>
      <c r="B10">
        <v>1463.78</v>
      </c>
      <c r="C10" s="7">
        <v>968.34</v>
      </c>
      <c r="D10">
        <v>396.62</v>
      </c>
    </row>
    <row r="11" spans="1:5" x14ac:dyDescent="0.35">
      <c r="A11">
        <v>800</v>
      </c>
      <c r="B11">
        <v>1597.85</v>
      </c>
      <c r="C11" s="7">
        <v>1039.27</v>
      </c>
      <c r="D11">
        <v>497.11</v>
      </c>
    </row>
    <row r="12" spans="1:5" x14ac:dyDescent="0.35">
      <c r="A12">
        <v>900</v>
      </c>
      <c r="B12">
        <v>1723.79</v>
      </c>
      <c r="C12" s="7">
        <v>1098.6600000000001</v>
      </c>
      <c r="D12">
        <v>604.09</v>
      </c>
    </row>
    <row r="13" spans="1:5" x14ac:dyDescent="0.35">
      <c r="A13">
        <v>1000</v>
      </c>
      <c r="B13">
        <v>1842.22</v>
      </c>
      <c r="C13" s="7">
        <v>1148.8599999999999</v>
      </c>
      <c r="D13">
        <v>716.53</v>
      </c>
    </row>
    <row r="19" spans="1:9" x14ac:dyDescent="0.35">
      <c r="A19" t="s">
        <v>76</v>
      </c>
    </row>
    <row r="20" spans="1:9" x14ac:dyDescent="0.35">
      <c r="C20" s="7">
        <v>676.08993099999998</v>
      </c>
      <c r="D20" t="s">
        <v>77</v>
      </c>
    </row>
    <row r="21" spans="1:9" x14ac:dyDescent="0.35">
      <c r="C21" s="7">
        <f>C20*2</f>
        <v>1352.179862</v>
      </c>
    </row>
    <row r="25" spans="1:9" x14ac:dyDescent="0.35">
      <c r="H25">
        <v>0.25750899999999999</v>
      </c>
      <c r="I25">
        <f>H25*2</f>
        <v>0.51501799999999998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P54" sqref="P54"/>
    </sheetView>
  </sheetViews>
  <sheetFormatPr defaultRowHeight="14.5" x14ac:dyDescent="0.35"/>
  <cols>
    <col min="1" max="1" width="12.54296875" customWidth="1"/>
    <col min="3" max="3" width="16.54296875" customWidth="1"/>
  </cols>
  <sheetData>
    <row r="1" spans="1:4" x14ac:dyDescent="0.35">
      <c r="A1" t="s">
        <v>17</v>
      </c>
    </row>
    <row r="2" spans="1:4" x14ac:dyDescent="0.35">
      <c r="A2" t="s">
        <v>0</v>
      </c>
    </row>
    <row r="5" spans="1:4" x14ac:dyDescent="0.35">
      <c r="A5" t="s">
        <v>33</v>
      </c>
    </row>
    <row r="6" spans="1:4" x14ac:dyDescent="0.35">
      <c r="A6" t="s">
        <v>4</v>
      </c>
      <c r="B6" t="s">
        <v>5</v>
      </c>
    </row>
    <row r="7" spans="1:4" x14ac:dyDescent="0.35">
      <c r="B7">
        <v>163</v>
      </c>
      <c r="C7">
        <v>298</v>
      </c>
      <c r="D7">
        <v>433</v>
      </c>
    </row>
    <row r="8" spans="1:4" x14ac:dyDescent="0.35">
      <c r="A8" t="s">
        <v>1</v>
      </c>
      <c r="B8">
        <v>-969.817184</v>
      </c>
      <c r="C8">
        <v>-969.84351800000002</v>
      </c>
      <c r="D8">
        <v>-969.87626399999999</v>
      </c>
    </row>
    <row r="9" spans="1:4" x14ac:dyDescent="0.35">
      <c r="A9" t="s">
        <v>2</v>
      </c>
      <c r="B9">
        <v>-969.81768799999998</v>
      </c>
      <c r="C9">
        <v>-969.84390599999995</v>
      </c>
      <c r="D9">
        <v>-969.87649199999998</v>
      </c>
    </row>
    <row r="10" spans="1:4" x14ac:dyDescent="0.35">
      <c r="A10" t="s">
        <v>3</v>
      </c>
      <c r="B10">
        <v>-969.81726200000003</v>
      </c>
      <c r="C10">
        <v>-969.84311100000002</v>
      </c>
      <c r="D10">
        <v>-969.87525700000003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zoomScale="85" zoomScaleNormal="85" workbookViewId="0">
      <selection activeCell="F16" sqref="F16"/>
    </sheetView>
  </sheetViews>
  <sheetFormatPr defaultRowHeight="14.5" x14ac:dyDescent="0.35"/>
  <cols>
    <col min="9" max="9" width="9.7265625" bestFit="1" customWidth="1"/>
    <col min="10" max="10" width="14.453125" bestFit="1" customWidth="1"/>
    <col min="13" max="13" width="17.26953125" customWidth="1"/>
    <col min="14" max="14" width="9.1796875" customWidth="1"/>
    <col min="16" max="16" width="11.54296875" customWidth="1"/>
  </cols>
  <sheetData>
    <row r="1" spans="1:26" x14ac:dyDescent="0.35">
      <c r="A1" t="s">
        <v>9</v>
      </c>
    </row>
    <row r="3" spans="1:26" x14ac:dyDescent="0.35">
      <c r="B3" s="18" t="s">
        <v>4</v>
      </c>
      <c r="C3" s="18" t="s">
        <v>5</v>
      </c>
      <c r="D3" s="18"/>
      <c r="E3" s="18"/>
      <c r="F3" s="18"/>
      <c r="G3" s="18"/>
    </row>
    <row r="4" spans="1:26" ht="15" thickBot="1" x14ac:dyDescent="0.4">
      <c r="B4" s="18"/>
      <c r="C4" s="18">
        <v>163</v>
      </c>
      <c r="D4" s="18">
        <v>297</v>
      </c>
      <c r="E4" s="18">
        <v>298</v>
      </c>
      <c r="F4" s="18">
        <v>299</v>
      </c>
      <c r="G4" s="18">
        <v>433</v>
      </c>
      <c r="J4" s="41" t="s">
        <v>14</v>
      </c>
      <c r="K4" s="18"/>
      <c r="L4" s="18"/>
      <c r="M4" s="18"/>
      <c r="N4" s="18"/>
      <c r="O4" s="18"/>
    </row>
    <row r="5" spans="1:26" x14ac:dyDescent="0.35">
      <c r="B5" s="21" t="s">
        <v>6</v>
      </c>
      <c r="C5" s="35">
        <v>-765.39988900000003</v>
      </c>
      <c r="D5" s="35">
        <v>-765.422955</v>
      </c>
      <c r="E5" s="35">
        <v>-765.42317800000001</v>
      </c>
      <c r="F5" s="35">
        <v>-765.42334300000005</v>
      </c>
      <c r="G5" s="36">
        <v>-765.45208400000001</v>
      </c>
      <c r="K5">
        <v>163</v>
      </c>
      <c r="L5">
        <v>297</v>
      </c>
      <c r="M5">
        <v>298</v>
      </c>
      <c r="N5">
        <v>299</v>
      </c>
      <c r="O5">
        <v>433</v>
      </c>
    </row>
    <row r="6" spans="1:26" x14ac:dyDescent="0.35">
      <c r="B6" s="25" t="s">
        <v>7</v>
      </c>
      <c r="C6" s="37">
        <v>-204.671221</v>
      </c>
      <c r="D6" s="37">
        <v>-204.68162899999999</v>
      </c>
      <c r="E6" s="37">
        <v>-204.68172200000001</v>
      </c>
      <c r="F6" s="37">
        <v>-204.681791</v>
      </c>
      <c r="G6" s="38">
        <v>-204.693074</v>
      </c>
      <c r="I6" t="s">
        <v>32</v>
      </c>
      <c r="J6" t="s">
        <v>11</v>
      </c>
      <c r="K6">
        <f>C$5+C$6+C$7</f>
        <v>-1046.4733430000001</v>
      </c>
      <c r="L6">
        <f t="shared" ref="L6:O6" si="0">D$5+D$6+D$7</f>
        <v>-1046.5159719999999</v>
      </c>
      <c r="M6" s="4">
        <f t="shared" si="0"/>
        <v>-1046.5163710000002</v>
      </c>
      <c r="N6">
        <f t="shared" si="0"/>
        <v>-1046.516666</v>
      </c>
      <c r="O6">
        <f t="shared" si="0"/>
        <v>-1046.5666550000001</v>
      </c>
    </row>
    <row r="7" spans="1:26" x14ac:dyDescent="0.35">
      <c r="B7" s="25" t="s">
        <v>8</v>
      </c>
      <c r="C7" s="37">
        <v>-76.402232999999995</v>
      </c>
      <c r="D7" s="37">
        <v>-76.411388000000002</v>
      </c>
      <c r="E7" s="37">
        <v>-76.411471000000006</v>
      </c>
      <c r="F7" s="37">
        <v>-76.411531999999994</v>
      </c>
      <c r="G7" s="38">
        <v>-76.421497000000002</v>
      </c>
      <c r="J7" t="s">
        <v>12</v>
      </c>
      <c r="K7">
        <f>C$8+C$10</f>
        <v>-1046.4830730000001</v>
      </c>
      <c r="L7">
        <f t="shared" ref="L7:O7" si="1">D$8+D$10</f>
        <v>-1046.5185289999999</v>
      </c>
      <c r="M7" s="4">
        <f t="shared" si="1"/>
        <v>-1046.5188660000001</v>
      </c>
      <c r="N7">
        <f t="shared" si="1"/>
        <v>-1046.5191159999999</v>
      </c>
      <c r="O7">
        <f t="shared" si="1"/>
        <v>-1046.5619200000001</v>
      </c>
    </row>
    <row r="8" spans="1:26" x14ac:dyDescent="0.35">
      <c r="B8" s="25" t="s">
        <v>10</v>
      </c>
      <c r="C8" s="37">
        <v>-76.665889000000007</v>
      </c>
      <c r="D8" s="37">
        <v>-76.675263000000001</v>
      </c>
      <c r="E8" s="37">
        <v>-76.675348</v>
      </c>
      <c r="F8" s="37">
        <v>-76.675410999999997</v>
      </c>
      <c r="G8" s="38">
        <v>-76.685655999999994</v>
      </c>
      <c r="J8" t="s">
        <v>13</v>
      </c>
      <c r="K8">
        <f>K7-K6</f>
        <v>-9.7299999999904685E-3</v>
      </c>
      <c r="L8">
        <f t="shared" ref="L8:O8" si="2">L7-L6</f>
        <v>-2.5570000000243454E-3</v>
      </c>
      <c r="M8" s="4">
        <f t="shared" si="2"/>
        <v>-2.4949999999535066E-3</v>
      </c>
      <c r="N8">
        <f t="shared" si="2"/>
        <v>-2.4499999999534339E-3</v>
      </c>
      <c r="O8">
        <f t="shared" si="2"/>
        <v>4.7349999999823922E-3</v>
      </c>
      <c r="Z8">
        <f>K6-K7</f>
        <v>9.7299999999904685E-3</v>
      </c>
    </row>
    <row r="9" spans="1:26" x14ac:dyDescent="0.35">
      <c r="B9" s="25"/>
      <c r="C9" s="37"/>
      <c r="D9" s="37"/>
      <c r="E9" s="37"/>
      <c r="F9" s="37"/>
      <c r="G9" s="38"/>
      <c r="J9" t="s">
        <v>77</v>
      </c>
      <c r="M9" s="4">
        <f>M8*2600</f>
        <v>-6.4869999998791172</v>
      </c>
    </row>
    <row r="10" spans="1:26" x14ac:dyDescent="0.35">
      <c r="B10" s="25" t="s">
        <v>1</v>
      </c>
      <c r="C10" s="37">
        <v>-969.817184</v>
      </c>
      <c r="D10" s="37">
        <v>-969.84326599999997</v>
      </c>
      <c r="E10" s="37">
        <v>-969.84351800000002</v>
      </c>
      <c r="F10" s="37">
        <v>-969.843705</v>
      </c>
      <c r="G10" s="38">
        <v>-969.87626399999999</v>
      </c>
      <c r="J10" t="s">
        <v>159</v>
      </c>
      <c r="M10" s="4">
        <f>M8*27</f>
        <v>-6.7364999998744679E-2</v>
      </c>
    </row>
    <row r="11" spans="1:26" x14ac:dyDescent="0.35">
      <c r="B11" s="25" t="s">
        <v>2</v>
      </c>
      <c r="C11" s="37">
        <v>-969.81768799999998</v>
      </c>
      <c r="D11" s="37">
        <v>-969.84365500000001</v>
      </c>
      <c r="E11" s="37">
        <v>-969.84390599999995</v>
      </c>
      <c r="F11" s="37">
        <v>-969.84409200000005</v>
      </c>
      <c r="G11" s="38">
        <v>-969.87649199999998</v>
      </c>
      <c r="J11" s="41" t="s">
        <v>15</v>
      </c>
      <c r="K11" s="18"/>
      <c r="L11" s="18"/>
      <c r="M11" s="18"/>
      <c r="N11" s="18"/>
      <c r="O11" s="18"/>
    </row>
    <row r="12" spans="1:26" ht="15" thickBot="1" x14ac:dyDescent="0.4">
      <c r="B12" s="31" t="s">
        <v>3</v>
      </c>
      <c r="C12" s="39">
        <v>-969.81726200000003</v>
      </c>
      <c r="D12" s="39">
        <v>-969.84286299999997</v>
      </c>
      <c r="E12" s="39">
        <v>-969.84311100000002</v>
      </c>
      <c r="F12" s="39">
        <v>-969.84329500000001</v>
      </c>
      <c r="G12" s="40">
        <v>-969.87525700000003</v>
      </c>
      <c r="J12" s="69"/>
      <c r="K12" s="69">
        <v>163</v>
      </c>
      <c r="L12" s="69">
        <v>297</v>
      </c>
      <c r="M12" s="69">
        <v>298</v>
      </c>
      <c r="N12" s="69">
        <v>299</v>
      </c>
      <c r="O12" s="69">
        <v>433</v>
      </c>
    </row>
    <row r="13" spans="1:26" x14ac:dyDescent="0.35">
      <c r="J13" s="69" t="s">
        <v>11</v>
      </c>
      <c r="K13" s="69">
        <f>C$5+C$6+C$7</f>
        <v>-1046.4733430000001</v>
      </c>
      <c r="L13" s="69">
        <f t="shared" ref="L13" si="3">D$5+D$6+D$7</f>
        <v>-1046.5159719999999</v>
      </c>
      <c r="M13" s="88">
        <f t="shared" ref="M13" si="4">E$5+E$6+E$7</f>
        <v>-1046.5163710000002</v>
      </c>
      <c r="N13" s="69">
        <f t="shared" ref="N13" si="5">F$5+F$6+F$7</f>
        <v>-1046.516666</v>
      </c>
      <c r="O13" s="69">
        <f t="shared" ref="O13" si="6">G$5+G$6+G$7</f>
        <v>-1046.5666550000001</v>
      </c>
    </row>
    <row r="14" spans="1:26" x14ac:dyDescent="0.35">
      <c r="J14" s="69" t="s">
        <v>12</v>
      </c>
      <c r="K14" s="69">
        <f>C$8+C$11</f>
        <v>-1046.483577</v>
      </c>
      <c r="L14" s="69">
        <f t="shared" ref="L14:O14" si="7">D$8+D$11</f>
        <v>-1046.518918</v>
      </c>
      <c r="M14" s="88">
        <f t="shared" si="7"/>
        <v>-1046.519254</v>
      </c>
      <c r="N14" s="69">
        <f t="shared" si="7"/>
        <v>-1046.519503</v>
      </c>
      <c r="O14" s="69">
        <f t="shared" si="7"/>
        <v>-1046.562148</v>
      </c>
    </row>
    <row r="15" spans="1:26" x14ac:dyDescent="0.35">
      <c r="J15" s="69" t="s">
        <v>13</v>
      </c>
      <c r="K15" s="69">
        <f>K14-K13</f>
        <v>-1.0233999999854859E-2</v>
      </c>
      <c r="L15" s="69">
        <f t="shared" ref="L15" si="8">L14-L13</f>
        <v>-2.9460000000653963E-3</v>
      </c>
      <c r="M15" s="88">
        <f t="shared" ref="M15" si="9">M14-M13</f>
        <v>-2.8829999998833955E-3</v>
      </c>
      <c r="N15" s="69">
        <f t="shared" ref="N15" si="10">N14-N13</f>
        <v>-2.8369999999995343E-3</v>
      </c>
      <c r="O15" s="69">
        <f t="shared" ref="O15" si="11">O14-O13</f>
        <v>4.5070000001032895E-3</v>
      </c>
    </row>
    <row r="16" spans="1:26" x14ac:dyDescent="0.35">
      <c r="J16" s="69" t="s">
        <v>77</v>
      </c>
      <c r="K16" s="69"/>
      <c r="L16" s="69"/>
      <c r="M16" s="88">
        <f>M15*2600</f>
        <v>-7.4957999996968283</v>
      </c>
      <c r="N16" s="69"/>
      <c r="O16" s="69"/>
    </row>
    <row r="17" spans="2:15" x14ac:dyDescent="0.35">
      <c r="B17" s="43" t="s">
        <v>93</v>
      </c>
      <c r="C17" s="43"/>
      <c r="D17" s="43"/>
      <c r="E17" s="43"/>
      <c r="J17" s="2" t="s">
        <v>159</v>
      </c>
      <c r="K17" s="2"/>
      <c r="L17" s="2"/>
      <c r="M17" s="4">
        <f>M15*27</f>
        <v>-7.7840999996851679E-2</v>
      </c>
    </row>
    <row r="18" spans="2:15" x14ac:dyDescent="0.35">
      <c r="B18" s="43" t="s">
        <v>21</v>
      </c>
      <c r="C18" s="43" t="s">
        <v>1</v>
      </c>
      <c r="D18" s="43" t="s">
        <v>2</v>
      </c>
      <c r="E18" s="43" t="s">
        <v>3</v>
      </c>
      <c r="J18" s="41" t="s">
        <v>16</v>
      </c>
      <c r="K18" s="18"/>
      <c r="L18" s="18"/>
      <c r="M18" s="18"/>
      <c r="N18" s="18"/>
      <c r="O18" s="18"/>
    </row>
    <row r="19" spans="2:15" x14ac:dyDescent="0.35">
      <c r="B19" s="43" t="s">
        <v>22</v>
      </c>
      <c r="C19" s="43">
        <v>-2.4949999999535066E-3</v>
      </c>
      <c r="D19" s="43">
        <v>-2.8829999998833955E-3</v>
      </c>
      <c r="E19" s="43">
        <v>-2.0879999999579013E-3</v>
      </c>
      <c r="K19">
        <v>163</v>
      </c>
      <c r="L19">
        <v>297</v>
      </c>
      <c r="M19">
        <v>298</v>
      </c>
      <c r="N19">
        <v>299</v>
      </c>
      <c r="O19">
        <v>433</v>
      </c>
    </row>
    <row r="20" spans="2:15" x14ac:dyDescent="0.35">
      <c r="B20" s="43" t="s">
        <v>83</v>
      </c>
      <c r="C20" s="43">
        <f>C19*630</f>
        <v>-1.5718499999707092</v>
      </c>
      <c r="D20" s="43">
        <f t="shared" ref="D20:E20" si="12">D19*630</f>
        <v>-1.8162899999265392</v>
      </c>
      <c r="E20" s="43">
        <f t="shared" si="12"/>
        <v>-1.3154399999734778</v>
      </c>
      <c r="J20" t="s">
        <v>11</v>
      </c>
      <c r="K20">
        <f>C$5+C$6+C$7</f>
        <v>-1046.4733430000001</v>
      </c>
      <c r="L20">
        <f t="shared" ref="L20" si="13">D$5+D$6+D$7</f>
        <v>-1046.5159719999999</v>
      </c>
      <c r="M20" s="4">
        <f t="shared" ref="M20" si="14">E$5+E$6+E$7</f>
        <v>-1046.5163710000002</v>
      </c>
      <c r="N20">
        <f t="shared" ref="N20" si="15">F$5+F$6+F$7</f>
        <v>-1046.516666</v>
      </c>
      <c r="O20">
        <f t="shared" ref="O20" si="16">G$5+G$6+G$7</f>
        <v>-1046.5666550000001</v>
      </c>
    </row>
    <row r="21" spans="2:15" x14ac:dyDescent="0.35">
      <c r="J21" t="s">
        <v>12</v>
      </c>
      <c r="K21">
        <f>C$8+C$12</f>
        <v>-1046.4831510000001</v>
      </c>
      <c r="L21">
        <f t="shared" ref="L21:O21" si="17">D$8+D$12</f>
        <v>-1046.5181259999999</v>
      </c>
      <c r="M21" s="4">
        <f t="shared" si="17"/>
        <v>-1046.5184590000001</v>
      </c>
      <c r="N21">
        <f t="shared" si="17"/>
        <v>-1046.5187060000001</v>
      </c>
      <c r="O21">
        <f t="shared" si="17"/>
        <v>-1046.560913</v>
      </c>
    </row>
    <row r="22" spans="2:15" x14ac:dyDescent="0.35">
      <c r="J22" t="s">
        <v>13</v>
      </c>
      <c r="K22">
        <f>K21-K20</f>
        <v>-9.8080000000209111E-3</v>
      </c>
      <c r="L22">
        <f t="shared" ref="L22" si="18">L21-L20</f>
        <v>-2.154000000018641E-3</v>
      </c>
      <c r="M22" s="4">
        <f t="shared" ref="M22" si="19">M21-M20</f>
        <v>-2.0879999999579013E-3</v>
      </c>
      <c r="N22">
        <f t="shared" ref="N22" si="20">N21-N20</f>
        <v>-2.0400000000790897E-3</v>
      </c>
      <c r="O22">
        <f t="shared" ref="O22" si="21">O21-O20</f>
        <v>5.7420000000547589E-3</v>
      </c>
    </row>
    <row r="23" spans="2:15" x14ac:dyDescent="0.35">
      <c r="J23" s="2" t="s">
        <v>77</v>
      </c>
      <c r="K23" s="2"/>
      <c r="L23" s="2"/>
      <c r="M23" s="4">
        <f>M22*2600</f>
        <v>-5.4287999998905434</v>
      </c>
    </row>
    <row r="24" spans="2:15" x14ac:dyDescent="0.35">
      <c r="J24" s="2" t="s">
        <v>159</v>
      </c>
      <c r="K24" s="2"/>
      <c r="L24" s="2"/>
      <c r="M24" s="4">
        <f>M22*27</f>
        <v>-5.6375999998863335E-2</v>
      </c>
    </row>
    <row r="52" spans="16:24" x14ac:dyDescent="0.35">
      <c r="P52" t="s">
        <v>165</v>
      </c>
    </row>
    <row r="53" spans="16:24" x14ac:dyDescent="0.35">
      <c r="P53" t="s">
        <v>18</v>
      </c>
    </row>
    <row r="55" spans="16:24" x14ac:dyDescent="0.35">
      <c r="P55" t="s">
        <v>19</v>
      </c>
      <c r="V55" t="s">
        <v>80</v>
      </c>
      <c r="X55" t="s">
        <v>208</v>
      </c>
    </row>
    <row r="56" spans="16:24" x14ac:dyDescent="0.35">
      <c r="P56" t="s">
        <v>20</v>
      </c>
      <c r="V56" t="s">
        <v>207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5"/>
  <sheetViews>
    <sheetView workbookViewId="0">
      <selection activeCell="B15" sqref="A15:B15"/>
    </sheetView>
  </sheetViews>
  <sheetFormatPr defaultColWidth="8.81640625" defaultRowHeight="14.5" x14ac:dyDescent="0.35"/>
  <cols>
    <col min="1" max="1" width="8.81640625" style="10"/>
    <col min="2" max="2" width="12.26953125" style="10" bestFit="1" customWidth="1"/>
    <col min="3" max="6" width="9.26953125" style="10" bestFit="1" customWidth="1"/>
    <col min="7" max="7" width="12.26953125" style="10" bestFit="1" customWidth="1"/>
    <col min="8" max="10" width="8.81640625" style="10"/>
    <col min="11" max="11" width="12.26953125" style="10" bestFit="1" customWidth="1"/>
    <col min="12" max="16" width="8.81640625" style="10"/>
    <col min="17" max="17" width="12.26953125" style="10" bestFit="1" customWidth="1"/>
    <col min="18" max="18" width="9.54296875" style="10" bestFit="1" customWidth="1"/>
    <col min="19" max="20" width="8.81640625" style="10"/>
    <col min="21" max="21" width="9.81640625" style="10" customWidth="1"/>
    <col min="22" max="23" width="8.81640625" style="10"/>
    <col min="24" max="24" width="11.26953125" style="10" customWidth="1"/>
    <col min="25" max="16384" width="8.81640625" style="10"/>
  </cols>
  <sheetData>
    <row r="1" spans="1:28" ht="15" thickBot="1" x14ac:dyDescent="0.4">
      <c r="B1" s="10" t="s">
        <v>110</v>
      </c>
      <c r="C1" s="10" t="s">
        <v>22</v>
      </c>
      <c r="S1" s="67" t="s">
        <v>130</v>
      </c>
      <c r="T1" s="65"/>
      <c r="U1" s="65" t="s">
        <v>137</v>
      </c>
      <c r="V1" s="65"/>
      <c r="W1" s="65"/>
      <c r="X1" s="65"/>
      <c r="Y1" s="65"/>
      <c r="Z1" s="66"/>
    </row>
    <row r="2" spans="1:28" ht="15" thickBot="1" x14ac:dyDescent="0.4">
      <c r="A2" s="49" t="s">
        <v>6</v>
      </c>
      <c r="B2" s="46">
        <v>-765.42317800000001</v>
      </c>
      <c r="E2" s="51" t="s">
        <v>115</v>
      </c>
      <c r="F2" s="48"/>
      <c r="G2" s="48"/>
      <c r="H2" s="48"/>
      <c r="I2" s="48"/>
      <c r="J2" s="48"/>
      <c r="K2" s="48"/>
      <c r="L2" s="48"/>
      <c r="M2" s="48"/>
      <c r="S2" s="70" t="s">
        <v>2</v>
      </c>
      <c r="T2" s="71" t="s">
        <v>120</v>
      </c>
      <c r="U2" s="72" t="s">
        <v>1</v>
      </c>
      <c r="V2" s="71" t="s">
        <v>120</v>
      </c>
      <c r="W2" s="71" t="s">
        <v>3</v>
      </c>
      <c r="X2" s="73"/>
      <c r="Y2" s="71"/>
      <c r="Z2" s="74"/>
    </row>
    <row r="3" spans="1:28" x14ac:dyDescent="0.35">
      <c r="A3" s="52" t="s">
        <v>7</v>
      </c>
      <c r="B3" s="26">
        <v>-204.68172200000001</v>
      </c>
      <c r="E3" s="48" t="s">
        <v>121</v>
      </c>
      <c r="F3" s="48" t="s">
        <v>119</v>
      </c>
      <c r="G3" s="48" t="s">
        <v>7</v>
      </c>
      <c r="H3" s="48" t="s">
        <v>119</v>
      </c>
      <c r="I3" s="48" t="s">
        <v>8</v>
      </c>
      <c r="J3" s="50" t="s">
        <v>120</v>
      </c>
      <c r="K3" s="50" t="s">
        <v>122</v>
      </c>
      <c r="L3" s="50" t="s">
        <v>119</v>
      </c>
      <c r="M3" s="50" t="s">
        <v>10</v>
      </c>
      <c r="S3" s="10" t="s">
        <v>2</v>
      </c>
      <c r="T3" s="53" t="s">
        <v>120</v>
      </c>
      <c r="U3" s="53" t="s">
        <v>111</v>
      </c>
      <c r="V3" s="10" t="s">
        <v>120</v>
      </c>
      <c r="W3" s="10" t="s">
        <v>114</v>
      </c>
    </row>
    <row r="4" spans="1:28" x14ac:dyDescent="0.35">
      <c r="A4" s="52" t="s">
        <v>8</v>
      </c>
      <c r="B4" s="26">
        <v>-76.411471000000006</v>
      </c>
    </row>
    <row r="5" spans="1:28" x14ac:dyDescent="0.35">
      <c r="A5" s="52" t="s">
        <v>10</v>
      </c>
      <c r="B5" s="26">
        <v>-76.675348</v>
      </c>
      <c r="E5" s="54" t="s">
        <v>123</v>
      </c>
      <c r="F5" s="55"/>
      <c r="G5" s="55"/>
      <c r="I5" s="54" t="s">
        <v>125</v>
      </c>
      <c r="J5" s="55"/>
      <c r="K5" s="55"/>
      <c r="O5" s="68" t="s">
        <v>126</v>
      </c>
      <c r="P5" s="55"/>
      <c r="Q5" s="55"/>
      <c r="S5" s="63" t="s">
        <v>144</v>
      </c>
      <c r="U5" s="57" t="s">
        <v>162</v>
      </c>
    </row>
    <row r="6" spans="1:28" x14ac:dyDescent="0.35">
      <c r="E6" s="10" t="s">
        <v>111</v>
      </c>
      <c r="I6" s="61" t="s">
        <v>112</v>
      </c>
      <c r="J6" s="61"/>
      <c r="K6" s="61"/>
      <c r="O6" s="59" t="s">
        <v>127</v>
      </c>
      <c r="P6" s="59"/>
      <c r="Q6" s="59"/>
      <c r="S6" s="61" t="s">
        <v>145</v>
      </c>
      <c r="U6" s="61" t="s">
        <v>146</v>
      </c>
    </row>
    <row r="7" spans="1:28" x14ac:dyDescent="0.35">
      <c r="A7" s="52" t="s">
        <v>1</v>
      </c>
      <c r="B7" s="26">
        <v>-969.84351800000002</v>
      </c>
      <c r="E7" s="10" t="s">
        <v>32</v>
      </c>
      <c r="F7" s="10" t="s">
        <v>11</v>
      </c>
      <c r="G7" s="10">
        <f>SUM($B7+$B$3+$B$4)</f>
        <v>-1250.9367109999998</v>
      </c>
      <c r="I7" s="61" t="s">
        <v>32</v>
      </c>
      <c r="J7" s="61" t="s">
        <v>11</v>
      </c>
      <c r="K7" s="61">
        <f>SUM($B9+$B$3+$B$4)</f>
        <v>-1250.9363039999998</v>
      </c>
      <c r="O7" s="59" t="s">
        <v>32</v>
      </c>
      <c r="P7" s="59" t="s">
        <v>11</v>
      </c>
      <c r="Q7" s="59">
        <f>SUM($B11+$B$3+$B$4)</f>
        <v>-1455.3602580000002</v>
      </c>
      <c r="S7" s="10" t="s">
        <v>148</v>
      </c>
    </row>
    <row r="8" spans="1:28" ht="15" thickBot="1" x14ac:dyDescent="0.4">
      <c r="A8" s="89" t="s">
        <v>2</v>
      </c>
      <c r="B8" s="90">
        <v>-969.84390599999995</v>
      </c>
      <c r="F8" s="10" t="s">
        <v>12</v>
      </c>
      <c r="G8" s="10">
        <f>$B11+$B$5</f>
        <v>-1250.942413</v>
      </c>
      <c r="I8" s="61"/>
      <c r="J8" s="61" t="s">
        <v>12</v>
      </c>
      <c r="K8" s="61">
        <f>$B12+$B$5</f>
        <v>-1250.9437169999999</v>
      </c>
      <c r="O8" s="59"/>
      <c r="P8" s="59" t="s">
        <v>12</v>
      </c>
      <c r="Q8" s="59">
        <f>$B15+$B$5</f>
        <v>-1455.361799</v>
      </c>
      <c r="S8" s="62" t="s">
        <v>150</v>
      </c>
    </row>
    <row r="9" spans="1:28" ht="15" thickBot="1" x14ac:dyDescent="0.4">
      <c r="A9" s="56" t="s">
        <v>3</v>
      </c>
      <c r="B9" s="32">
        <v>-969.84311100000002</v>
      </c>
      <c r="F9" s="10" t="s">
        <v>13</v>
      </c>
      <c r="G9" s="10">
        <f>G8-G7</f>
        <v>-5.7020000001557491E-3</v>
      </c>
      <c r="I9" s="61"/>
      <c r="J9" s="61" t="s">
        <v>13</v>
      </c>
      <c r="K9" s="61">
        <f>K8-K7</f>
        <v>-7.4130000000423024E-3</v>
      </c>
      <c r="O9" s="59"/>
      <c r="P9" s="59" t="s">
        <v>13</v>
      </c>
      <c r="Q9" s="59">
        <f>Q8-Q7</f>
        <v>-1.5409999998610147E-3</v>
      </c>
      <c r="S9" s="10">
        <f>Q7-Q8</f>
        <v>1.5409999998610147E-3</v>
      </c>
      <c r="X9" s="67" t="s">
        <v>154</v>
      </c>
      <c r="Y9" s="65"/>
      <c r="Z9" s="66"/>
      <c r="AA9" s="48"/>
      <c r="AB9" s="48"/>
    </row>
    <row r="10" spans="1:28" ht="15" thickBot="1" x14ac:dyDescent="0.4">
      <c r="F10" s="10" t="s">
        <v>77</v>
      </c>
      <c r="G10" s="10">
        <f>G9*2600</f>
        <v>-14.825200000404948</v>
      </c>
      <c r="I10" s="61"/>
      <c r="J10" s="61" t="s">
        <v>77</v>
      </c>
      <c r="K10" s="61">
        <f>K9*2600</f>
        <v>-19.273800000109986</v>
      </c>
      <c r="P10" s="10" t="s">
        <v>77</v>
      </c>
      <c r="Q10" s="10">
        <f>Q9*2600</f>
        <v>-4.0065999996386381</v>
      </c>
      <c r="X10" s="75" t="s">
        <v>155</v>
      </c>
      <c r="Y10" s="71"/>
      <c r="Z10" s="74"/>
      <c r="AA10" s="48"/>
      <c r="AB10" s="48"/>
    </row>
    <row r="11" spans="1:28" x14ac:dyDescent="0.35">
      <c r="A11" s="10" t="s">
        <v>111</v>
      </c>
      <c r="B11" s="10">
        <v>-1174.267065</v>
      </c>
      <c r="O11" s="10" t="s">
        <v>128</v>
      </c>
      <c r="U11" s="51" t="s">
        <v>147</v>
      </c>
      <c r="V11" s="48"/>
      <c r="W11" s="48"/>
      <c r="X11" s="48" t="s">
        <v>163</v>
      </c>
      <c r="Y11" s="48"/>
      <c r="Z11" s="48"/>
      <c r="AA11" s="48"/>
      <c r="AB11" s="48"/>
    </row>
    <row r="12" spans="1:28" x14ac:dyDescent="0.35">
      <c r="A12" s="61" t="s">
        <v>112</v>
      </c>
      <c r="B12" s="61">
        <v>-1174.2683689999999</v>
      </c>
      <c r="E12" s="10" t="s">
        <v>112</v>
      </c>
      <c r="I12" s="10" t="s">
        <v>113</v>
      </c>
      <c r="O12" s="10" t="s">
        <v>32</v>
      </c>
      <c r="P12" s="10" t="s">
        <v>11</v>
      </c>
      <c r="Q12" s="10">
        <f>SUM($B12+$B$3+$B$4)</f>
        <v>-1455.361562</v>
      </c>
      <c r="U12" s="64" t="s">
        <v>151</v>
      </c>
      <c r="V12" s="48" t="s">
        <v>152</v>
      </c>
      <c r="W12" s="48"/>
      <c r="X12" s="51" t="s">
        <v>164</v>
      </c>
      <c r="Y12" s="48"/>
      <c r="Z12" s="48"/>
      <c r="AA12" s="48"/>
      <c r="AB12" s="48"/>
    </row>
    <row r="13" spans="1:28" x14ac:dyDescent="0.35">
      <c r="A13" s="10" t="s">
        <v>113</v>
      </c>
      <c r="B13" s="10">
        <v>-1174.26322</v>
      </c>
      <c r="E13" s="10" t="s">
        <v>32</v>
      </c>
      <c r="F13" s="10" t="s">
        <v>11</v>
      </c>
      <c r="G13" s="10">
        <f>SUM($B7+$B$3+$B$4)</f>
        <v>-1250.9367109999998</v>
      </c>
      <c r="I13" s="10" t="s">
        <v>32</v>
      </c>
      <c r="J13" s="10" t="s">
        <v>11</v>
      </c>
      <c r="K13" s="10">
        <f>SUM($B9+$B$3+$B$4)</f>
        <v>-1250.9363039999998</v>
      </c>
      <c r="P13" s="10" t="s">
        <v>12</v>
      </c>
      <c r="Q13" s="10">
        <f>$B15+$B$5</f>
        <v>-1455.361799</v>
      </c>
      <c r="S13" s="64" t="s">
        <v>149</v>
      </c>
      <c r="T13" s="48"/>
      <c r="U13" s="48">
        <f>K7-K8</f>
        <v>7.4130000000423024E-3</v>
      </c>
      <c r="V13" s="48"/>
      <c r="W13" s="48"/>
      <c r="X13" s="48"/>
      <c r="Y13" s="48"/>
      <c r="Z13" s="48"/>
      <c r="AA13" s="48"/>
      <c r="AB13" s="48"/>
    </row>
    <row r="14" spans="1:28" x14ac:dyDescent="0.35">
      <c r="F14" s="10" t="s">
        <v>12</v>
      </c>
      <c r="G14" s="10">
        <f>$B12+$B$5</f>
        <v>-1250.9437169999999</v>
      </c>
      <c r="J14" s="10" t="s">
        <v>12</v>
      </c>
      <c r="K14" s="10">
        <f>$B13+$B$5</f>
        <v>-1250.938568</v>
      </c>
      <c r="P14" s="10" t="s">
        <v>13</v>
      </c>
      <c r="Q14" s="10">
        <f>Q13-Q12</f>
        <v>-2.3699999997006671E-4</v>
      </c>
      <c r="S14" s="51">
        <f>Q12-Q13</f>
        <v>2.3699999997006671E-4</v>
      </c>
      <c r="T14" s="48"/>
      <c r="U14" s="64" t="s">
        <v>150</v>
      </c>
      <c r="V14" s="48" t="s">
        <v>153</v>
      </c>
      <c r="W14" s="48"/>
      <c r="X14" s="48" t="s">
        <v>156</v>
      </c>
      <c r="Y14" s="48"/>
      <c r="Z14" s="48"/>
      <c r="AA14" s="48"/>
      <c r="AB14" s="48"/>
    </row>
    <row r="15" spans="1:28" x14ac:dyDescent="0.35">
      <c r="A15" s="61" t="s">
        <v>114</v>
      </c>
      <c r="B15" s="61">
        <v>-1378.686451</v>
      </c>
      <c r="F15" s="10" t="s">
        <v>13</v>
      </c>
      <c r="G15" s="10">
        <f>G14-G13</f>
        <v>-7.0060000000466971E-3</v>
      </c>
      <c r="J15" s="10" t="s">
        <v>13</v>
      </c>
      <c r="K15" s="10">
        <f>K14-K13</f>
        <v>-2.2640000001956651E-3</v>
      </c>
      <c r="P15" s="10" t="s">
        <v>77</v>
      </c>
      <c r="Q15" s="10">
        <f>Q14*2600</f>
        <v>-0.61619999992217345</v>
      </c>
      <c r="U15" s="51">
        <f>G13-G14</f>
        <v>7.0060000000466971E-3</v>
      </c>
      <c r="V15" s="48"/>
      <c r="W15" s="48"/>
      <c r="X15" s="48" t="s">
        <v>157</v>
      </c>
      <c r="Y15" s="48">
        <f>U13-U15</f>
        <v>4.0699999999560532E-4</v>
      </c>
      <c r="Z15" s="48" t="s">
        <v>158</v>
      </c>
      <c r="AA15" s="48"/>
      <c r="AB15" s="48"/>
    </row>
    <row r="16" spans="1:28" x14ac:dyDescent="0.35">
      <c r="F16" s="10" t="s">
        <v>77</v>
      </c>
      <c r="G16" s="10">
        <f>G15*2600</f>
        <v>-18.215600000121412</v>
      </c>
      <c r="J16" s="10" t="s">
        <v>77</v>
      </c>
      <c r="K16" s="10">
        <f>K15*2600</f>
        <v>-5.8864000005087291</v>
      </c>
      <c r="O16" s="61" t="s">
        <v>129</v>
      </c>
      <c r="P16" s="61"/>
      <c r="Q16" s="61"/>
      <c r="X16" s="48"/>
      <c r="Y16" s="48">
        <v>1.1075E-2</v>
      </c>
      <c r="Z16" s="48" t="s">
        <v>159</v>
      </c>
      <c r="AA16" s="48"/>
      <c r="AB16" s="48"/>
    </row>
    <row r="17" spans="1:28" x14ac:dyDescent="0.35">
      <c r="O17" s="61" t="s">
        <v>32</v>
      </c>
      <c r="P17" s="61" t="s">
        <v>11</v>
      </c>
      <c r="Q17" s="61">
        <f>SUM($B13+$B$3+$B$4)</f>
        <v>-1455.356413</v>
      </c>
      <c r="X17" s="48"/>
      <c r="Y17" s="48">
        <v>1.0685789999999999</v>
      </c>
      <c r="Z17" s="48" t="s">
        <v>160</v>
      </c>
      <c r="AA17" s="48"/>
      <c r="AB17" s="48"/>
    </row>
    <row r="18" spans="1:28" x14ac:dyDescent="0.35">
      <c r="O18" s="61"/>
      <c r="P18" s="61" t="s">
        <v>12</v>
      </c>
      <c r="Q18" s="61">
        <f>$B15+$B$5</f>
        <v>-1455.361799</v>
      </c>
      <c r="S18" s="62" t="s">
        <v>151</v>
      </c>
      <c r="X18" s="48"/>
      <c r="Y18" s="48"/>
      <c r="Z18" s="48"/>
      <c r="AA18" s="48"/>
      <c r="AB18" s="48"/>
    </row>
    <row r="19" spans="1:28" x14ac:dyDescent="0.35">
      <c r="B19" s="10" t="s">
        <v>142</v>
      </c>
      <c r="E19" s="54" t="s">
        <v>124</v>
      </c>
      <c r="F19" s="55"/>
      <c r="G19" s="55"/>
      <c r="H19" s="57"/>
      <c r="O19" s="61"/>
      <c r="P19" s="61" t="s">
        <v>13</v>
      </c>
      <c r="Q19" s="61">
        <f>Q18-Q17</f>
        <v>-5.3860000000440778E-3</v>
      </c>
      <c r="S19" s="10">
        <f>Q17-Q18</f>
        <v>5.3860000000440778E-3</v>
      </c>
      <c r="X19" s="48" t="s">
        <v>161</v>
      </c>
      <c r="Y19" s="48"/>
      <c r="Z19" s="48"/>
      <c r="AA19" s="48"/>
      <c r="AB19" s="48"/>
    </row>
    <row r="20" spans="1:28" x14ac:dyDescent="0.35">
      <c r="B20" s="10" t="s">
        <v>143</v>
      </c>
      <c r="E20" s="59" t="s">
        <v>111</v>
      </c>
      <c r="F20" s="59"/>
      <c r="G20" s="59"/>
      <c r="O20" s="61"/>
      <c r="P20" s="61" t="s">
        <v>77</v>
      </c>
      <c r="Q20" s="61">
        <f>Q19*2600</f>
        <v>-14.003600000114602</v>
      </c>
      <c r="X20" s="10" t="s">
        <v>166</v>
      </c>
    </row>
    <row r="21" spans="1:28" x14ac:dyDescent="0.35">
      <c r="E21" s="59" t="s">
        <v>32</v>
      </c>
      <c r="F21" s="59" t="s">
        <v>11</v>
      </c>
      <c r="G21" s="59">
        <f>SUM($B8+$B$3+$B$4)</f>
        <v>-1250.9370989999998</v>
      </c>
    </row>
    <row r="22" spans="1:28" x14ac:dyDescent="0.35">
      <c r="E22" s="59"/>
      <c r="F22" s="59" t="s">
        <v>12</v>
      </c>
      <c r="G22" s="59">
        <f>$B11+$B$5</f>
        <v>-1250.942413</v>
      </c>
    </row>
    <row r="23" spans="1:28" x14ac:dyDescent="0.35">
      <c r="E23" s="59"/>
      <c r="F23" s="59" t="s">
        <v>13</v>
      </c>
      <c r="G23" s="59">
        <f>G22-G21</f>
        <v>-5.3140000002258603E-3</v>
      </c>
    </row>
    <row r="24" spans="1:28" x14ac:dyDescent="0.35">
      <c r="E24" s="59"/>
      <c r="F24" s="10" t="s">
        <v>77</v>
      </c>
      <c r="G24" s="10">
        <f>G23*2600</f>
        <v>-13.816400000587237</v>
      </c>
    </row>
    <row r="25" spans="1:28" x14ac:dyDescent="0.35">
      <c r="E25" s="59"/>
      <c r="F25" s="59"/>
      <c r="G25" s="59"/>
    </row>
    <row r="26" spans="1:28" x14ac:dyDescent="0.35">
      <c r="E26" s="59" t="s">
        <v>113</v>
      </c>
      <c r="F26" s="59"/>
      <c r="G26" s="59"/>
    </row>
    <row r="27" spans="1:28" x14ac:dyDescent="0.35">
      <c r="E27" s="59" t="s">
        <v>32</v>
      </c>
      <c r="F27" s="59" t="s">
        <v>11</v>
      </c>
      <c r="G27" s="59">
        <f>SUM($B8+$B$3+$B$4)</f>
        <v>-1250.9370989999998</v>
      </c>
    </row>
    <row r="28" spans="1:28" x14ac:dyDescent="0.35">
      <c r="E28" s="59"/>
      <c r="F28" s="59" t="s">
        <v>12</v>
      </c>
      <c r="G28" s="59">
        <f>$B13+$B$5</f>
        <v>-1250.938568</v>
      </c>
    </row>
    <row r="29" spans="1:28" x14ac:dyDescent="0.35">
      <c r="E29" s="59"/>
      <c r="F29" s="59" t="s">
        <v>13</v>
      </c>
      <c r="G29" s="59">
        <f>G28-G27</f>
        <v>-1.4690000002701709E-3</v>
      </c>
    </row>
    <row r="30" spans="1:28" x14ac:dyDescent="0.35">
      <c r="F30" s="10" t="s">
        <v>77</v>
      </c>
      <c r="G30" s="10">
        <f>G29*2600</f>
        <v>-3.8194000007024442</v>
      </c>
    </row>
    <row r="31" spans="1:28" x14ac:dyDescent="0.35">
      <c r="A31" s="47"/>
      <c r="B31" s="47"/>
      <c r="C31" s="47"/>
      <c r="D31" s="47"/>
      <c r="E31" s="47"/>
      <c r="F31" s="47"/>
      <c r="G31" s="47"/>
    </row>
    <row r="32" spans="1:28" x14ac:dyDescent="0.35">
      <c r="A32" s="47" t="s">
        <v>131</v>
      </c>
      <c r="B32" s="47"/>
      <c r="C32" s="47"/>
      <c r="D32" s="47"/>
      <c r="E32" s="47"/>
      <c r="F32" s="47"/>
      <c r="G32" s="47"/>
    </row>
    <row r="33" spans="1:7" x14ac:dyDescent="0.35">
      <c r="A33" s="47"/>
      <c r="B33" s="47" t="s">
        <v>134</v>
      </c>
      <c r="C33" s="47"/>
      <c r="D33" s="47" t="s">
        <v>135</v>
      </c>
      <c r="E33" s="47"/>
      <c r="F33" s="47" t="s">
        <v>136</v>
      </c>
      <c r="G33" s="47"/>
    </row>
    <row r="34" spans="1:7" x14ac:dyDescent="0.35">
      <c r="A34" s="47" t="s">
        <v>133</v>
      </c>
      <c r="B34" s="47" t="s">
        <v>111</v>
      </c>
      <c r="C34" s="47" t="s">
        <v>112</v>
      </c>
      <c r="D34" s="47" t="s">
        <v>111</v>
      </c>
      <c r="E34" s="47" t="s">
        <v>113</v>
      </c>
      <c r="F34" s="47" t="s">
        <v>112</v>
      </c>
      <c r="G34" s="47" t="s">
        <v>113</v>
      </c>
    </row>
    <row r="35" spans="1:7" x14ac:dyDescent="0.35">
      <c r="A35" s="47" t="s">
        <v>132</v>
      </c>
      <c r="B35" s="47">
        <v>-5.7020000001557491E-3</v>
      </c>
      <c r="C35" s="47">
        <v>-7.0060000000466971E-3</v>
      </c>
      <c r="D35" s="47">
        <v>-5.3140000002258603E-3</v>
      </c>
      <c r="E35" s="47">
        <v>-1.4690000002701709E-3</v>
      </c>
      <c r="F35" s="47">
        <v>-7.4130000000423024E-3</v>
      </c>
      <c r="G35" s="47">
        <v>-2.2640000001956651E-3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topLeftCell="H27" zoomScale="104" zoomScaleNormal="85" workbookViewId="0">
      <selection activeCell="E26" sqref="E26"/>
    </sheetView>
  </sheetViews>
  <sheetFormatPr defaultRowHeight="14.5" x14ac:dyDescent="0.35"/>
  <cols>
    <col min="1" max="1" width="41.26953125" customWidth="1"/>
    <col min="2" max="2" width="13.7265625" bestFit="1" customWidth="1"/>
    <col min="3" max="5" width="12.453125" bestFit="1" customWidth="1"/>
    <col min="6" max="6" width="19.26953125" style="6" bestFit="1" customWidth="1"/>
    <col min="7" max="7" width="12.453125" bestFit="1" customWidth="1"/>
    <col min="8" max="8" width="14.453125" bestFit="1" customWidth="1"/>
    <col min="10" max="10" width="10.7265625" bestFit="1" customWidth="1"/>
    <col min="11" max="14" width="8.453125" bestFit="1" customWidth="1"/>
    <col min="16" max="16" width="37.81640625" bestFit="1" customWidth="1"/>
    <col min="20" max="20" width="22.1796875" bestFit="1" customWidth="1"/>
    <col min="22" max="22" width="23" bestFit="1" customWidth="1"/>
  </cols>
  <sheetData>
    <row r="1" spans="1:21" x14ac:dyDescent="0.35">
      <c r="A1" t="s">
        <v>23</v>
      </c>
      <c r="B1" t="s">
        <v>57</v>
      </c>
    </row>
    <row r="2" spans="1:21" x14ac:dyDescent="0.35">
      <c r="A2" t="s">
        <v>9</v>
      </c>
    </row>
    <row r="3" spans="1:21" s="2" customFormat="1" x14ac:dyDescent="0.35">
      <c r="C3" s="1" t="s">
        <v>90</v>
      </c>
      <c r="D3" s="1"/>
      <c r="F3" s="6"/>
      <c r="G3" s="2" t="s">
        <v>92</v>
      </c>
      <c r="P3"/>
      <c r="Q3"/>
      <c r="R3"/>
      <c r="S3"/>
      <c r="T3"/>
      <c r="U3"/>
    </row>
    <row r="4" spans="1:21" x14ac:dyDescent="0.35">
      <c r="B4" t="s">
        <v>91</v>
      </c>
      <c r="C4" s="1">
        <f>C6-273</f>
        <v>-110</v>
      </c>
      <c r="D4" s="1">
        <f t="shared" ref="D4:G4" si="0">D6-273</f>
        <v>-73</v>
      </c>
      <c r="E4" s="2">
        <f t="shared" si="0"/>
        <v>25</v>
      </c>
      <c r="F4" s="2">
        <f t="shared" si="0"/>
        <v>27</v>
      </c>
      <c r="G4" s="2">
        <f t="shared" si="0"/>
        <v>160</v>
      </c>
      <c r="P4" s="2"/>
      <c r="Q4" s="2"/>
      <c r="R4" s="2"/>
      <c r="S4" s="2"/>
      <c r="T4" s="2"/>
      <c r="U4" s="2"/>
    </row>
    <row r="5" spans="1:21" x14ac:dyDescent="0.35">
      <c r="B5" s="17" t="s">
        <v>4</v>
      </c>
      <c r="C5" s="17" t="s">
        <v>5</v>
      </c>
      <c r="D5" s="17"/>
      <c r="E5" s="17"/>
      <c r="F5" s="19"/>
      <c r="G5" s="17"/>
      <c r="J5" s="17" t="s">
        <v>68</v>
      </c>
      <c r="K5" s="18"/>
      <c r="L5" s="18"/>
      <c r="M5" s="18"/>
      <c r="N5" s="18"/>
    </row>
    <row r="6" spans="1:21" ht="15" thickBot="1" x14ac:dyDescent="0.4">
      <c r="B6" s="17"/>
      <c r="C6" s="17">
        <v>163</v>
      </c>
      <c r="D6" s="17">
        <v>200</v>
      </c>
      <c r="E6" s="17">
        <v>298</v>
      </c>
      <c r="F6" s="19">
        <v>300</v>
      </c>
      <c r="G6" s="17">
        <v>433</v>
      </c>
      <c r="J6" s="2">
        <v>163</v>
      </c>
      <c r="K6" s="2">
        <v>200</v>
      </c>
      <c r="L6" s="2">
        <v>298</v>
      </c>
      <c r="M6" s="6">
        <v>300</v>
      </c>
      <c r="N6" s="2">
        <v>433</v>
      </c>
    </row>
    <row r="7" spans="1:21" x14ac:dyDescent="0.35">
      <c r="A7" s="20" t="s">
        <v>24</v>
      </c>
      <c r="B7" s="21" t="s">
        <v>6</v>
      </c>
      <c r="C7" s="22">
        <v>-1375.89807</v>
      </c>
      <c r="D7" s="22">
        <v>-1375.906017</v>
      </c>
      <c r="E7" s="82">
        <v>-1375.9309479999999</v>
      </c>
      <c r="F7" s="23">
        <v>-1375.9314690000001</v>
      </c>
      <c r="G7" s="24">
        <v>-1375.973647</v>
      </c>
      <c r="J7" s="4">
        <f>C7-$C7</f>
        <v>0</v>
      </c>
      <c r="K7" s="4">
        <f t="shared" ref="K7:N10" si="1">D7-$C7</f>
        <v>-7.9470000000583241E-3</v>
      </c>
      <c r="L7" s="4">
        <f t="shared" si="1"/>
        <v>-3.2877999999982421E-2</v>
      </c>
      <c r="M7" s="4">
        <f t="shared" si="1"/>
        <v>-3.3399000000144952E-2</v>
      </c>
      <c r="N7" s="4">
        <f t="shared" si="1"/>
        <v>-7.5577000000066619E-2</v>
      </c>
    </row>
    <row r="8" spans="1:21" x14ac:dyDescent="0.35">
      <c r="B8" s="25" t="s">
        <v>7</v>
      </c>
      <c r="C8" s="26">
        <v>-204.671221</v>
      </c>
      <c r="D8" s="26">
        <v>-204.67399</v>
      </c>
      <c r="E8" s="83">
        <v>-204.68172200000001</v>
      </c>
      <c r="F8" s="27">
        <v>-204.681873</v>
      </c>
      <c r="G8" s="28">
        <v>-204.693074</v>
      </c>
      <c r="J8" s="4">
        <f>C8-$C8</f>
        <v>0</v>
      </c>
      <c r="K8" s="4">
        <f t="shared" si="1"/>
        <v>-2.7690000000006876E-3</v>
      </c>
      <c r="L8" s="4">
        <f t="shared" si="1"/>
        <v>-1.0501000000004979E-2</v>
      </c>
      <c r="M8" s="4">
        <f>F8-$C8</f>
        <v>-1.0651999999993222E-2</v>
      </c>
      <c r="N8" s="4">
        <f t="shared" si="1"/>
        <v>-2.1852999999993017E-2</v>
      </c>
    </row>
    <row r="9" spans="1:21" x14ac:dyDescent="0.35">
      <c r="B9" s="25" t="s">
        <v>8</v>
      </c>
      <c r="C9" s="26">
        <v>-76.402232999999995</v>
      </c>
      <c r="D9" s="26">
        <v>-76.404656000000003</v>
      </c>
      <c r="E9" s="83">
        <v>-76.411471000000006</v>
      </c>
      <c r="F9" s="27">
        <v>-76.411603999999997</v>
      </c>
      <c r="G9" s="28">
        <v>-76.421497000000002</v>
      </c>
      <c r="J9" s="4">
        <f>C9-$C9</f>
        <v>0</v>
      </c>
      <c r="K9" s="4">
        <f t="shared" si="1"/>
        <v>-2.4230000000073915E-3</v>
      </c>
      <c r="L9" s="4">
        <f t="shared" si="1"/>
        <v>-9.2380000000105156E-3</v>
      </c>
      <c r="M9" s="4">
        <f t="shared" ref="M9:M10" si="2">F9-$C9</f>
        <v>-9.3710000000015725E-3</v>
      </c>
      <c r="N9" s="4">
        <f t="shared" si="1"/>
        <v>-1.9264000000006831E-2</v>
      </c>
    </row>
    <row r="10" spans="1:21" x14ac:dyDescent="0.35">
      <c r="B10" s="25" t="s">
        <v>10</v>
      </c>
      <c r="C10" s="26">
        <v>-76.665889000000007</v>
      </c>
      <c r="D10" s="26">
        <v>-76.668368999999998</v>
      </c>
      <c r="E10" s="83">
        <v>-76.675348</v>
      </c>
      <c r="F10" s="27">
        <v>-76.675483999999997</v>
      </c>
      <c r="G10" s="28">
        <v>-76.685655999999994</v>
      </c>
      <c r="J10" s="4">
        <f>C10-$C10</f>
        <v>0</v>
      </c>
      <c r="K10" s="4">
        <f t="shared" si="1"/>
        <v>-2.479999999991378E-3</v>
      </c>
      <c r="L10" s="4">
        <f t="shared" si="1"/>
        <v>-9.4589999999925567E-3</v>
      </c>
      <c r="M10" s="4">
        <f t="shared" si="2"/>
        <v>-9.5949999999902502E-3</v>
      </c>
      <c r="N10" s="4">
        <f t="shared" si="1"/>
        <v>-1.9766999999987434E-2</v>
      </c>
    </row>
    <row r="11" spans="1:21" x14ac:dyDescent="0.35">
      <c r="B11" s="25"/>
      <c r="C11" s="26"/>
      <c r="D11" s="26"/>
      <c r="E11" s="83"/>
      <c r="F11" s="27"/>
      <c r="G11" s="28"/>
    </row>
    <row r="12" spans="1:21" x14ac:dyDescent="0.35">
      <c r="A12" s="20" t="s">
        <v>31</v>
      </c>
      <c r="B12" s="25" t="s">
        <v>25</v>
      </c>
      <c r="C12" s="26">
        <v>-1580.317749</v>
      </c>
      <c r="D12" s="26">
        <v>-1580.3266679999999</v>
      </c>
      <c r="E12" s="83">
        <v>-1580.354513</v>
      </c>
      <c r="F12" s="27">
        <v>-1580.3550929999999</v>
      </c>
      <c r="G12" s="28">
        <v>-1580.401875</v>
      </c>
      <c r="J12" s="4">
        <f t="shared" ref="J12:J18" si="3">C12-$C12</f>
        <v>0</v>
      </c>
      <c r="K12" s="4">
        <f t="shared" ref="K12:K18" si="4">D12-$C12</f>
        <v>-8.9189999998779967E-3</v>
      </c>
      <c r="L12" s="4">
        <f t="shared" ref="L12:L18" si="5">E12-$C12</f>
        <v>-3.6763999999948282E-2</v>
      </c>
      <c r="M12" s="4">
        <f t="shared" ref="M12:M17" si="6">F12-$C12</f>
        <v>-3.7343999999848165E-2</v>
      </c>
      <c r="N12" s="4">
        <f t="shared" ref="N12:N18" si="7">G12-$C12</f>
        <v>-8.4125999999969281E-2</v>
      </c>
    </row>
    <row r="13" spans="1:21" x14ac:dyDescent="0.35">
      <c r="B13" s="25" t="s">
        <v>26</v>
      </c>
      <c r="C13" s="26">
        <v>-1580.3194699999999</v>
      </c>
      <c r="D13" s="26">
        <v>-1580.327824</v>
      </c>
      <c r="E13" s="83">
        <v>-1580.354171</v>
      </c>
      <c r="F13" s="27">
        <v>-1580.354722</v>
      </c>
      <c r="G13" s="28">
        <v>-1580.399469</v>
      </c>
      <c r="J13" s="4">
        <f t="shared" si="3"/>
        <v>0</v>
      </c>
      <c r="K13" s="4">
        <f t="shared" si="4"/>
        <v>-8.3540000000539294E-3</v>
      </c>
      <c r="L13" s="4">
        <f t="shared" si="5"/>
        <v>-3.4701000000040949E-2</v>
      </c>
      <c r="M13" s="4">
        <f t="shared" si="6"/>
        <v>-3.5252000000127737E-2</v>
      </c>
      <c r="N13" s="4">
        <f t="shared" si="7"/>
        <v>-7.9999000000043452E-2</v>
      </c>
    </row>
    <row r="14" spans="1:21" x14ac:dyDescent="0.35">
      <c r="B14" s="25" t="s">
        <v>27</v>
      </c>
      <c r="C14" s="26">
        <v>-1580.323582</v>
      </c>
      <c r="D14" s="26">
        <v>-1580.3323539999999</v>
      </c>
      <c r="E14" s="83">
        <v>-1580.3597380000001</v>
      </c>
      <c r="F14" s="27">
        <v>-1580.360373</v>
      </c>
      <c r="G14" s="29">
        <v>-1580.4065029999999</v>
      </c>
      <c r="J14" s="4">
        <f t="shared" si="3"/>
        <v>0</v>
      </c>
      <c r="K14" s="4">
        <f t="shared" si="4"/>
        <v>-8.7719999999080756E-3</v>
      </c>
      <c r="L14" s="4">
        <f t="shared" si="5"/>
        <v>-3.6156000000119093E-2</v>
      </c>
      <c r="M14" s="4">
        <f t="shared" si="6"/>
        <v>-3.6790999999993801E-2</v>
      </c>
      <c r="N14" s="4">
        <f t="shared" si="7"/>
        <v>-8.2920999999942069E-2</v>
      </c>
    </row>
    <row r="15" spans="1:21" x14ac:dyDescent="0.35">
      <c r="B15" s="25" t="s">
        <v>28</v>
      </c>
      <c r="C15" s="26">
        <v>-1580.3111329999999</v>
      </c>
      <c r="D15" s="26">
        <v>-1580.319882</v>
      </c>
      <c r="E15" s="83">
        <v>-1580.347346</v>
      </c>
      <c r="F15" s="27">
        <v>-1580.347921</v>
      </c>
      <c r="G15" s="28">
        <v>-1580.39427</v>
      </c>
      <c r="J15" s="4">
        <f t="shared" si="3"/>
        <v>0</v>
      </c>
      <c r="K15" s="4">
        <f t="shared" si="4"/>
        <v>-8.7490000000798318E-3</v>
      </c>
      <c r="L15" s="4">
        <f t="shared" si="5"/>
        <v>-3.6213000000088869E-2</v>
      </c>
      <c r="M15" s="4">
        <f t="shared" si="6"/>
        <v>-3.6788000000115062E-2</v>
      </c>
      <c r="N15" s="4">
        <f t="shared" si="7"/>
        <v>-8.3137000000078842E-2</v>
      </c>
    </row>
    <row r="16" spans="1:21" s="2" customFormat="1" x14ac:dyDescent="0.35">
      <c r="B16" s="25"/>
      <c r="C16" s="26"/>
      <c r="D16" s="26"/>
      <c r="E16" s="83"/>
      <c r="F16" s="30">
        <v>-1580.347921</v>
      </c>
      <c r="G16" s="28"/>
      <c r="H16" s="14" t="s">
        <v>85</v>
      </c>
      <c r="J16" s="4"/>
      <c r="K16" s="4"/>
      <c r="L16" s="4"/>
      <c r="M16" s="4"/>
      <c r="N16" s="4"/>
      <c r="P16"/>
      <c r="Q16"/>
      <c r="R16"/>
      <c r="S16"/>
      <c r="T16"/>
      <c r="U16"/>
    </row>
    <row r="17" spans="1:21" x14ac:dyDescent="0.35">
      <c r="B17" s="25" t="s">
        <v>29</v>
      </c>
      <c r="C17" s="26">
        <v>-1580.3117319999999</v>
      </c>
      <c r="D17" s="26">
        <v>-1580.3207010000001</v>
      </c>
      <c r="E17" s="83">
        <v>-1580.3487500000001</v>
      </c>
      <c r="F17" s="27">
        <v>-1580.3493350000001</v>
      </c>
      <c r="G17" s="28">
        <v>-1580.3964759999999</v>
      </c>
      <c r="J17" s="4">
        <f t="shared" si="3"/>
        <v>0</v>
      </c>
      <c r="K17" s="4">
        <f t="shared" si="4"/>
        <v>-8.9690000002065062E-3</v>
      </c>
      <c r="L17" s="4">
        <f t="shared" si="5"/>
        <v>-3.7018000000216489E-2</v>
      </c>
      <c r="M17" s="4">
        <f t="shared" si="6"/>
        <v>-3.7603000000217435E-2</v>
      </c>
      <c r="N17" s="4">
        <f t="shared" si="7"/>
        <v>-8.4744000000000597E-2</v>
      </c>
      <c r="P17" s="2"/>
      <c r="Q17" s="2"/>
      <c r="R17" s="2"/>
      <c r="S17" s="2"/>
      <c r="T17" s="2"/>
      <c r="U17" s="2"/>
    </row>
    <row r="18" spans="1:21" ht="15" thickBot="1" x14ac:dyDescent="0.4">
      <c r="B18" s="31" t="s">
        <v>30</v>
      </c>
      <c r="C18" s="32">
        <v>-1580.3216420000001</v>
      </c>
      <c r="D18" s="32">
        <v>-1580.3304419999999</v>
      </c>
      <c r="E18" s="84">
        <v>-1580.35796</v>
      </c>
      <c r="F18" s="33">
        <v>-1580.358534</v>
      </c>
      <c r="G18" s="34">
        <v>-1580.4048560000001</v>
      </c>
      <c r="H18" s="13" t="s">
        <v>84</v>
      </c>
      <c r="J18" s="4">
        <f t="shared" si="3"/>
        <v>0</v>
      </c>
      <c r="K18" s="4">
        <f t="shared" si="4"/>
        <v>-8.7999999998373823E-3</v>
      </c>
      <c r="L18" s="4">
        <f t="shared" si="5"/>
        <v>-3.6317999999937456E-2</v>
      </c>
      <c r="M18" s="4">
        <f>F18-$C18</f>
        <v>-3.6891999999852487E-2</v>
      </c>
      <c r="N18" s="4">
        <f t="shared" si="7"/>
        <v>-8.3213999999998123E-2</v>
      </c>
    </row>
    <row r="19" spans="1:21" s="2" customFormat="1" x14ac:dyDescent="0.35">
      <c r="C19" s="10"/>
      <c r="D19" s="10"/>
      <c r="E19" s="10"/>
      <c r="F19" s="16">
        <v>-1580.3579569999999</v>
      </c>
      <c r="G19" s="10"/>
      <c r="H19" s="15" t="s">
        <v>86</v>
      </c>
      <c r="J19" s="4"/>
      <c r="K19" s="4"/>
      <c r="L19" s="4"/>
      <c r="M19" s="4"/>
      <c r="N19" s="4"/>
      <c r="P19"/>
      <c r="Q19"/>
      <c r="R19"/>
      <c r="S19"/>
      <c r="T19"/>
      <c r="U19"/>
    </row>
    <row r="20" spans="1:21" x14ac:dyDescent="0.35">
      <c r="C20" s="10"/>
      <c r="D20" s="10"/>
      <c r="E20" s="10"/>
      <c r="F20" s="11">
        <v>-1580.3579589999999</v>
      </c>
      <c r="G20" s="10"/>
      <c r="H20" t="s">
        <v>61</v>
      </c>
      <c r="P20" s="2"/>
      <c r="Q20" s="2"/>
      <c r="R20" s="2"/>
      <c r="S20" s="2"/>
      <c r="T20" s="2"/>
      <c r="U20" s="2"/>
    </row>
    <row r="21" spans="1:21" x14ac:dyDescent="0.35">
      <c r="F21" t="s">
        <v>82</v>
      </c>
    </row>
    <row r="22" spans="1:21" x14ac:dyDescent="0.35">
      <c r="A22" s="1" t="s">
        <v>58</v>
      </c>
      <c r="B22" s="41" t="str">
        <f>CONCATENATE($A$12,$B12)</f>
        <v>NC0_2</v>
      </c>
      <c r="C22" s="18"/>
      <c r="D22" s="18"/>
      <c r="E22" s="18"/>
      <c r="F22" s="42"/>
      <c r="G22" s="18"/>
      <c r="P22" s="8" t="s">
        <v>69</v>
      </c>
      <c r="T22" t="s">
        <v>70</v>
      </c>
    </row>
    <row r="23" spans="1:21" x14ac:dyDescent="0.35">
      <c r="B23" t="s">
        <v>59</v>
      </c>
      <c r="C23" s="4">
        <f>SUM(C$7:C$9)</f>
        <v>-1656.971524</v>
      </c>
      <c r="D23" s="4">
        <f t="shared" ref="D23:G23" si="8">SUM(D$7:D$9)</f>
        <v>-1656.984663</v>
      </c>
      <c r="E23" s="4">
        <f t="shared" si="8"/>
        <v>-1657.0241409999999</v>
      </c>
      <c r="F23" s="5">
        <f t="shared" si="8"/>
        <v>-1657.024946</v>
      </c>
      <c r="G23" s="4">
        <f t="shared" si="8"/>
        <v>-1657.0882180000001</v>
      </c>
    </row>
    <row r="24" spans="1:21" x14ac:dyDescent="0.35">
      <c r="B24" t="s">
        <v>60</v>
      </c>
      <c r="C24" s="4">
        <f>SUM(C$10,C12)</f>
        <v>-1656.9836380000002</v>
      </c>
      <c r="D24" s="4">
        <f t="shared" ref="D24:E24" si="9">SUM(D$10,D12)</f>
        <v>-1656.9950369999999</v>
      </c>
      <c r="E24" s="4">
        <f t="shared" si="9"/>
        <v>-1657.029861</v>
      </c>
      <c r="F24" s="5">
        <f>SUM(F$10,F12)</f>
        <v>-1657.030577</v>
      </c>
      <c r="G24" s="4">
        <f>SUM(G$10,G12)</f>
        <v>-1657.0875310000001</v>
      </c>
    </row>
    <row r="25" spans="1:21" x14ac:dyDescent="0.35">
      <c r="B25" s="2" t="s">
        <v>13</v>
      </c>
      <c r="C25" s="4">
        <f>C24-C23</f>
        <v>-1.2114000000110536E-2</v>
      </c>
      <c r="D25" s="4">
        <f>D24-D23</f>
        <v>-1.0373999999956141E-2</v>
      </c>
      <c r="E25" s="4">
        <f>E24-E23</f>
        <v>-5.7200000001103035E-3</v>
      </c>
      <c r="F25" s="5">
        <f t="shared" ref="F25:G25" si="10">F24-F23</f>
        <v>-5.6309999999939464E-3</v>
      </c>
      <c r="G25" s="4">
        <f t="shared" si="10"/>
        <v>6.8699999997079431E-4</v>
      </c>
    </row>
    <row r="26" spans="1:21" x14ac:dyDescent="0.35">
      <c r="A26" s="4"/>
      <c r="B26" s="2" t="s">
        <v>77</v>
      </c>
      <c r="C26" s="2"/>
      <c r="D26" s="2"/>
      <c r="E26" s="2">
        <f>E25*2600</f>
        <v>-14.872000000286789</v>
      </c>
    </row>
    <row r="27" spans="1:21" x14ac:dyDescent="0.35">
      <c r="B27" t="s">
        <v>159</v>
      </c>
      <c r="E27">
        <f>E25*27</f>
        <v>-0.15444000000297819</v>
      </c>
    </row>
    <row r="28" spans="1:21" x14ac:dyDescent="0.35">
      <c r="B28" s="41" t="str">
        <f>CONCATENATE($A$12,$B13)</f>
        <v>NC0_3</v>
      </c>
      <c r="C28" s="18"/>
      <c r="D28" s="18"/>
      <c r="E28" s="18"/>
      <c r="F28" s="42"/>
      <c r="G28" s="18"/>
    </row>
    <row r="29" spans="1:21" x14ac:dyDescent="0.35">
      <c r="B29" s="2" t="s">
        <v>60</v>
      </c>
      <c r="C29" s="4">
        <f>SUM(C$10,C13)</f>
        <v>-1656.985359</v>
      </c>
      <c r="D29" s="4">
        <f t="shared" ref="D29:G29" si="11">SUM(D$10,D13)</f>
        <v>-1656.9961929999999</v>
      </c>
      <c r="E29" s="4">
        <f t="shared" si="11"/>
        <v>-1657.0295189999999</v>
      </c>
      <c r="F29" s="5">
        <f>SUM(F$10,F13)</f>
        <v>-1657.0302060000001</v>
      </c>
      <c r="G29" s="4">
        <f t="shared" si="11"/>
        <v>-1657.0851250000001</v>
      </c>
    </row>
    <row r="30" spans="1:21" x14ac:dyDescent="0.35">
      <c r="B30" s="2" t="s">
        <v>13</v>
      </c>
      <c r="C30" s="4">
        <f>C29-C$23</f>
        <v>-1.3834999999971842E-2</v>
      </c>
      <c r="D30" s="4">
        <f>D29-D$23</f>
        <v>-1.1529999999993379E-2</v>
      </c>
      <c r="E30" s="4">
        <f t="shared" ref="E30:F30" si="12">E29-E$23</f>
        <v>-5.3780000000642758E-3</v>
      </c>
      <c r="F30" s="5">
        <f t="shared" si="12"/>
        <v>-5.2600000001348235E-3</v>
      </c>
      <c r="G30" s="4">
        <f>G29-G$23</f>
        <v>3.0930000000353175E-3</v>
      </c>
    </row>
    <row r="31" spans="1:21" x14ac:dyDescent="0.35">
      <c r="B31" s="2" t="s">
        <v>77</v>
      </c>
      <c r="C31" s="2"/>
      <c r="D31" s="2"/>
      <c r="E31" s="2">
        <f>E30*2600</f>
        <v>-13.982800000167117</v>
      </c>
    </row>
    <row r="32" spans="1:21" x14ac:dyDescent="0.35">
      <c r="B32" t="s">
        <v>159</v>
      </c>
      <c r="E32" s="2">
        <f>E30*27</f>
        <v>-0.14520600000173545</v>
      </c>
    </row>
    <row r="33" spans="2:19" x14ac:dyDescent="0.35">
      <c r="B33" s="41" t="str">
        <f>CONCATENATE($A$12,$B14)</f>
        <v>NC0_6</v>
      </c>
      <c r="C33" s="18"/>
      <c r="D33" s="18"/>
      <c r="E33" s="18"/>
      <c r="F33" s="42"/>
      <c r="G33" s="18"/>
    </row>
    <row r="34" spans="2:19" x14ac:dyDescent="0.35">
      <c r="B34" s="2" t="s">
        <v>60</v>
      </c>
      <c r="C34" s="4">
        <f>SUM(C$10,C14)</f>
        <v>-1656.9894710000001</v>
      </c>
      <c r="D34" s="4">
        <f t="shared" ref="D34:F34" si="13">SUM(D$10,D14)</f>
        <v>-1657.0007229999999</v>
      </c>
      <c r="E34" s="4">
        <f t="shared" si="13"/>
        <v>-1657.0350860000001</v>
      </c>
      <c r="F34" s="5">
        <f t="shared" si="13"/>
        <v>-1657.0358570000001</v>
      </c>
      <c r="G34" s="4">
        <f>SUM(G$10,G14)</f>
        <v>-1657.0921589999998</v>
      </c>
      <c r="S34" t="s">
        <v>89</v>
      </c>
    </row>
    <row r="35" spans="2:19" x14ac:dyDescent="0.35">
      <c r="B35" s="2" t="s">
        <v>13</v>
      </c>
      <c r="C35" s="4">
        <f>C34-C$23</f>
        <v>-1.7947000000049229E-2</v>
      </c>
      <c r="D35" s="4">
        <f t="shared" ref="D35:E35" si="14">D34-D$23</f>
        <v>-1.6059999999924912E-2</v>
      </c>
      <c r="E35" s="4">
        <f t="shared" si="14"/>
        <v>-1.0945000000219807E-2</v>
      </c>
      <c r="F35" s="5">
        <f>F34-F$23</f>
        <v>-1.0911000000078275E-2</v>
      </c>
      <c r="G35" s="4">
        <f>G34-G$23</f>
        <v>-3.9409999997133127E-3</v>
      </c>
      <c r="S35" t="s">
        <v>88</v>
      </c>
    </row>
    <row r="36" spans="2:19" x14ac:dyDescent="0.35">
      <c r="B36" s="2" t="s">
        <v>77</v>
      </c>
      <c r="C36" s="2"/>
      <c r="D36" s="2"/>
      <c r="E36" s="2">
        <f>E35*2600</f>
        <v>-28.457000000571497</v>
      </c>
      <c r="S36" t="s">
        <v>87</v>
      </c>
    </row>
    <row r="37" spans="2:19" x14ac:dyDescent="0.35">
      <c r="B37" t="s">
        <v>159</v>
      </c>
      <c r="E37" s="2">
        <f>E35*27</f>
        <v>-0.29551500000593478</v>
      </c>
    </row>
    <row r="38" spans="2:19" x14ac:dyDescent="0.35">
      <c r="B38" s="41" t="str">
        <f>CONCATENATE($A$12,$B15)</f>
        <v>NC2_0</v>
      </c>
      <c r="C38" s="18"/>
      <c r="D38" s="18"/>
      <c r="E38" s="18"/>
      <c r="F38" s="42"/>
      <c r="G38" s="18"/>
    </row>
    <row r="39" spans="2:19" x14ac:dyDescent="0.35">
      <c r="B39" s="2" t="s">
        <v>60</v>
      </c>
      <c r="C39" s="4">
        <f>SUM(C$10,C$15)</f>
        <v>-1656.977022</v>
      </c>
      <c r="D39" s="4">
        <f t="shared" ref="D39:F39" si="15">SUM(D$10,D$15)</f>
        <v>-1656.988251</v>
      </c>
      <c r="E39" s="4">
        <f t="shared" si="15"/>
        <v>-1657.022694</v>
      </c>
      <c r="F39" s="5">
        <f t="shared" si="15"/>
        <v>-1657.0234050000001</v>
      </c>
      <c r="G39" s="4">
        <f>SUM(G$10,G$15)</f>
        <v>-1657.0799259999999</v>
      </c>
    </row>
    <row r="40" spans="2:19" x14ac:dyDescent="0.35">
      <c r="B40" s="2" t="s">
        <v>13</v>
      </c>
      <c r="C40" s="4">
        <f>C39-C$23</f>
        <v>-5.4979999999886786E-3</v>
      </c>
      <c r="D40" s="4">
        <f t="shared" ref="D40" si="16">D39-D$23</f>
        <v>-3.5880000000361179E-3</v>
      </c>
      <c r="E40" s="4">
        <f>E39-E$23</f>
        <v>1.4469999998709682E-3</v>
      </c>
      <c r="F40" s="5">
        <f>F39-F$23</f>
        <v>1.5409999998610147E-3</v>
      </c>
      <c r="G40" s="4">
        <f t="shared" ref="G40" si="17">G39-G$23</f>
        <v>8.2920000002104643E-3</v>
      </c>
    </row>
    <row r="41" spans="2:19" x14ac:dyDescent="0.35">
      <c r="B41" s="2" t="s">
        <v>77</v>
      </c>
      <c r="C41" s="2"/>
      <c r="D41" s="2"/>
      <c r="E41" s="2">
        <f>E40*2600</f>
        <v>3.7621999996645172</v>
      </c>
    </row>
    <row r="42" spans="2:19" x14ac:dyDescent="0.35">
      <c r="B42" t="s">
        <v>159</v>
      </c>
      <c r="E42" s="2">
        <f>E40*27</f>
        <v>3.9068999996516141E-2</v>
      </c>
    </row>
    <row r="43" spans="2:19" x14ac:dyDescent="0.35">
      <c r="B43" s="41" t="str">
        <f>CONCATENATE($A$12,$B17)</f>
        <v>NC3_0</v>
      </c>
      <c r="C43" s="18"/>
      <c r="D43" s="18"/>
      <c r="E43" s="18"/>
      <c r="F43" s="42"/>
      <c r="G43" s="18"/>
    </row>
    <row r="44" spans="2:19" x14ac:dyDescent="0.35">
      <c r="B44" s="2" t="s">
        <v>60</v>
      </c>
      <c r="C44" s="4">
        <f>SUM(C$10,C$17)</f>
        <v>-1656.977621</v>
      </c>
      <c r="D44" s="4">
        <f t="shared" ref="D44:G44" si="18">SUM(D$10,D$17)</f>
        <v>-1656.9890700000001</v>
      </c>
      <c r="E44" s="4">
        <f t="shared" si="18"/>
        <v>-1657.0240980000001</v>
      </c>
      <c r="F44" s="5">
        <f t="shared" si="18"/>
        <v>-1657.0248190000002</v>
      </c>
      <c r="G44" s="4">
        <f t="shared" si="18"/>
        <v>-1657.082132</v>
      </c>
    </row>
    <row r="45" spans="2:19" x14ac:dyDescent="0.35">
      <c r="B45" s="2" t="s">
        <v>13</v>
      </c>
      <c r="C45" s="4">
        <f>C44-C$23</f>
        <v>-6.0969999999542779E-3</v>
      </c>
      <c r="D45" s="4">
        <f t="shared" ref="D45" si="19">D44-D$23</f>
        <v>-4.4070000001283915E-3</v>
      </c>
      <c r="E45" s="4">
        <f>E44-E$23</f>
        <v>4.2999999777748599E-5</v>
      </c>
      <c r="F45" s="5">
        <f>F44-F$23</f>
        <v>1.2699999979304266E-4</v>
      </c>
      <c r="G45" s="4">
        <f t="shared" ref="G45" si="20">G44-G$23</f>
        <v>6.0860000000957371E-3</v>
      </c>
    </row>
    <row r="46" spans="2:19" x14ac:dyDescent="0.35">
      <c r="B46" s="2" t="s">
        <v>77</v>
      </c>
      <c r="C46" s="2"/>
      <c r="D46" s="2"/>
      <c r="E46" s="2">
        <f>E45*2600</f>
        <v>0.11179999942214636</v>
      </c>
    </row>
    <row r="47" spans="2:19" x14ac:dyDescent="0.35">
      <c r="B47" t="s">
        <v>159</v>
      </c>
      <c r="E47" s="2">
        <f>E45*27</f>
        <v>1.1609999939992122E-3</v>
      </c>
      <c r="L47" t="s">
        <v>71</v>
      </c>
    </row>
    <row r="48" spans="2:19" x14ac:dyDescent="0.35">
      <c r="B48" s="41" t="str">
        <f>CONCATENATE($A$12,$B18)</f>
        <v>NC6_0</v>
      </c>
      <c r="C48" s="18"/>
      <c r="D48" s="18"/>
      <c r="E48" s="18"/>
      <c r="F48" s="42"/>
      <c r="G48" s="18"/>
    </row>
    <row r="49" spans="2:19" x14ac:dyDescent="0.35">
      <c r="B49" s="2" t="s">
        <v>60</v>
      </c>
      <c r="C49" s="4">
        <f>SUM(C$10,C$18)</f>
        <v>-1656.9875310000002</v>
      </c>
      <c r="D49" s="4">
        <f t="shared" ref="D49:G49" si="21">SUM(D$10,D$18)</f>
        <v>-1656.9988109999999</v>
      </c>
      <c r="E49" s="4">
        <f t="shared" si="21"/>
        <v>-1657.033308</v>
      </c>
      <c r="F49" s="5">
        <f>SUM(F$10,F$18)</f>
        <v>-1657.0340180000001</v>
      </c>
      <c r="G49" s="4">
        <f t="shared" si="21"/>
        <v>-1657.0905120000002</v>
      </c>
    </row>
    <row r="50" spans="2:19" x14ac:dyDescent="0.35">
      <c r="B50" s="2" t="s">
        <v>13</v>
      </c>
      <c r="C50" s="4">
        <f>C49-C$23</f>
        <v>-1.6007000000172411E-2</v>
      </c>
      <c r="D50" s="4">
        <f t="shared" ref="D50" si="22">D49-D$23</f>
        <v>-1.4147999999977401E-2</v>
      </c>
      <c r="E50" s="4">
        <f>E49-E$23</f>
        <v>-9.1670000001613516E-3</v>
      </c>
      <c r="F50" s="5">
        <f>F49-F$23</f>
        <v>-9.0720000000601431E-3</v>
      </c>
      <c r="G50" s="4">
        <f t="shared" ref="G50" si="23">G49-G$23</f>
        <v>-2.2940000001199223E-3</v>
      </c>
    </row>
    <row r="51" spans="2:19" x14ac:dyDescent="0.35">
      <c r="B51" s="2" t="s">
        <v>77</v>
      </c>
      <c r="C51" s="2"/>
      <c r="D51" s="2"/>
      <c r="E51" s="2">
        <f>E50*2600</f>
        <v>-23.834200000419514</v>
      </c>
    </row>
    <row r="52" spans="2:19" x14ac:dyDescent="0.35">
      <c r="B52" t="s">
        <v>159</v>
      </c>
      <c r="E52" s="2">
        <f>E50*27</f>
        <v>-0.24750900000435649</v>
      </c>
    </row>
    <row r="61" spans="2:19" x14ac:dyDescent="0.35">
      <c r="S61" t="s">
        <v>81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"/>
  <sheetViews>
    <sheetView topLeftCell="A58" workbookViewId="0">
      <selection activeCell="N17" sqref="N17"/>
    </sheetView>
  </sheetViews>
  <sheetFormatPr defaultRowHeight="14.5" x14ac:dyDescent="0.35"/>
  <cols>
    <col min="1" max="1" width="23.453125" customWidth="1"/>
  </cols>
  <sheetData>
    <row r="1" spans="1:12" x14ac:dyDescent="0.35">
      <c r="A1" s="1" t="s">
        <v>54</v>
      </c>
      <c r="B1" s="2"/>
      <c r="C1" s="2"/>
      <c r="D1" s="2"/>
      <c r="E1" s="2"/>
      <c r="F1" s="2"/>
      <c r="G1" s="2"/>
      <c r="H1" s="3"/>
      <c r="I1" s="3"/>
      <c r="J1" s="3"/>
      <c r="K1" s="2"/>
      <c r="L1" s="2"/>
    </row>
    <row r="2" spans="1:12" x14ac:dyDescent="0.35">
      <c r="A2" s="2" t="s">
        <v>34</v>
      </c>
      <c r="B2" s="2"/>
      <c r="C2" s="2"/>
      <c r="D2" s="2"/>
      <c r="E2" s="2"/>
      <c r="F2" s="2"/>
      <c r="G2" s="2"/>
      <c r="H2" s="3" t="s">
        <v>35</v>
      </c>
      <c r="I2" s="3"/>
      <c r="J2" s="3"/>
      <c r="K2" s="2">
        <v>57</v>
      </c>
      <c r="L2" s="2">
        <v>48.6</v>
      </c>
    </row>
    <row r="3" spans="1:12" x14ac:dyDescent="0.35">
      <c r="A3" s="2" t="s">
        <v>36</v>
      </c>
      <c r="B3" s="2"/>
      <c r="C3" s="2"/>
      <c r="D3" s="2"/>
      <c r="E3" s="2"/>
      <c r="F3" s="2"/>
      <c r="G3" s="2"/>
      <c r="H3" s="3" t="s">
        <v>37</v>
      </c>
      <c r="I3" s="3"/>
      <c r="J3" s="3"/>
      <c r="K3" s="2">
        <v>57</v>
      </c>
      <c r="L3" s="2">
        <v>0</v>
      </c>
    </row>
    <row r="4" spans="1:12" x14ac:dyDescent="0.35">
      <c r="A4" s="2" t="s">
        <v>38</v>
      </c>
      <c r="B4" s="2"/>
      <c r="C4" s="2"/>
      <c r="D4" s="2"/>
      <c r="E4" s="2"/>
      <c r="F4" s="2"/>
      <c r="G4" s="2"/>
      <c r="H4" s="3" t="s">
        <v>39</v>
      </c>
      <c r="I4" s="3"/>
      <c r="J4" s="3"/>
      <c r="K4" s="2">
        <v>46</v>
      </c>
      <c r="L4" s="2">
        <v>57.7</v>
      </c>
    </row>
    <row r="5" spans="1:12" x14ac:dyDescent="0.35">
      <c r="A5" s="2" t="s">
        <v>40</v>
      </c>
      <c r="B5" s="2"/>
      <c r="C5" s="2"/>
      <c r="D5" s="2"/>
      <c r="E5" s="2"/>
      <c r="F5" s="2"/>
      <c r="G5" s="2"/>
      <c r="H5" s="3" t="s">
        <v>41</v>
      </c>
      <c r="I5" s="3"/>
      <c r="J5" s="3"/>
      <c r="K5" s="2">
        <v>38</v>
      </c>
      <c r="L5" s="2">
        <v>40.1</v>
      </c>
    </row>
    <row r="6" spans="1:12" x14ac:dyDescent="0.35">
      <c r="A6" s="2" t="s">
        <v>42</v>
      </c>
      <c r="B6" s="2"/>
      <c r="C6" s="2"/>
      <c r="D6" s="2"/>
      <c r="E6" s="2"/>
      <c r="F6" s="2"/>
      <c r="G6" s="2"/>
      <c r="H6" s="3" t="s">
        <v>43</v>
      </c>
      <c r="I6" s="3"/>
      <c r="J6" s="3"/>
      <c r="K6" s="2">
        <v>51</v>
      </c>
      <c r="L6" s="2">
        <v>45</v>
      </c>
    </row>
    <row r="7" spans="1:12" x14ac:dyDescent="0.35">
      <c r="A7" s="2" t="s">
        <v>44</v>
      </c>
      <c r="B7" s="2"/>
      <c r="C7" s="2"/>
      <c r="D7" s="2"/>
      <c r="E7" s="2"/>
      <c r="F7" s="2"/>
      <c r="G7" s="2"/>
      <c r="H7" s="3" t="s">
        <v>45</v>
      </c>
      <c r="I7" s="3"/>
      <c r="J7" s="3"/>
      <c r="K7" s="2">
        <v>22</v>
      </c>
      <c r="L7" s="2">
        <v>47.1</v>
      </c>
    </row>
    <row r="9" spans="1:12" x14ac:dyDescent="0.35">
      <c r="A9" s="2"/>
      <c r="B9" s="2" t="s">
        <v>46</v>
      </c>
      <c r="C9" s="2" t="s">
        <v>47</v>
      </c>
      <c r="D9" s="2" t="s">
        <v>48</v>
      </c>
      <c r="E9" s="2" t="s">
        <v>49</v>
      </c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>
        <v>8</v>
      </c>
      <c r="C10" s="2">
        <v>30</v>
      </c>
      <c r="D10" s="2">
        <v>271</v>
      </c>
      <c r="E10" s="2">
        <v>238.5</v>
      </c>
      <c r="F10" s="2"/>
      <c r="G10" s="2"/>
      <c r="H10" s="2"/>
      <c r="I10" s="2"/>
      <c r="J10" s="2"/>
      <c r="K10" s="2"/>
      <c r="L10" s="2"/>
    </row>
    <row r="11" spans="1:12" x14ac:dyDescent="0.35">
      <c r="A11" s="2" t="s">
        <v>50</v>
      </c>
      <c r="B11" s="2">
        <v>11520</v>
      </c>
      <c r="C11" s="2">
        <v>1800</v>
      </c>
      <c r="D11" s="2">
        <v>271</v>
      </c>
      <c r="E11" s="2">
        <v>3.9750000000000001</v>
      </c>
      <c r="F11" s="2"/>
      <c r="G11" s="2"/>
      <c r="H11" s="2"/>
      <c r="I11" s="2"/>
      <c r="J11" s="2"/>
      <c r="K11" s="2"/>
      <c r="L11" s="2"/>
    </row>
    <row r="13" spans="1:12" x14ac:dyDescent="0.35">
      <c r="A13" s="2" t="s">
        <v>51</v>
      </c>
      <c r="B13" s="2">
        <v>13594.975</v>
      </c>
      <c r="C13" s="2" t="s">
        <v>56</v>
      </c>
      <c r="D13" s="2">
        <f>B13/60</f>
        <v>226.58291666666668</v>
      </c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 t="s">
        <v>52</v>
      </c>
      <c r="B14" s="2">
        <v>679.74874999999997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 t="s">
        <v>53</v>
      </c>
      <c r="B15" s="2">
        <v>11.329145833333333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7" spans="1:17" x14ac:dyDescent="0.35">
      <c r="A17" t="s">
        <v>55</v>
      </c>
    </row>
    <row r="23" spans="1:17" x14ac:dyDescent="0.35">
      <c r="N23" t="s">
        <v>201</v>
      </c>
      <c r="O23" t="s">
        <v>202</v>
      </c>
      <c r="P23" t="s">
        <v>83</v>
      </c>
      <c r="Q23" t="s">
        <v>159</v>
      </c>
    </row>
    <row r="24" spans="1:17" x14ac:dyDescent="0.35">
      <c r="N24">
        <v>1</v>
      </c>
      <c r="O24">
        <f>N24*2600</f>
        <v>2600</v>
      </c>
      <c r="P24">
        <f>N24*630</f>
        <v>630</v>
      </c>
      <c r="Q24">
        <f>N24*27</f>
        <v>27</v>
      </c>
    </row>
    <row r="27" spans="1:17" x14ac:dyDescent="0.35">
      <c r="A27" s="3" t="s">
        <v>62</v>
      </c>
      <c r="B27" s="3"/>
      <c r="C27" s="3"/>
      <c r="D27" s="3"/>
      <c r="E27" s="3"/>
      <c r="F27" s="3"/>
    </row>
    <row r="28" spans="1:17" x14ac:dyDescent="0.35">
      <c r="A28" s="3" t="s">
        <v>63</v>
      </c>
      <c r="B28" s="3"/>
      <c r="C28" s="3"/>
      <c r="D28" s="3"/>
      <c r="E28" s="3"/>
      <c r="F28" s="3" t="s">
        <v>64</v>
      </c>
    </row>
    <row r="29" spans="1:17" x14ac:dyDescent="0.35">
      <c r="A29" s="3"/>
      <c r="B29" s="3"/>
      <c r="C29" s="3"/>
      <c r="D29" s="3"/>
      <c r="E29" s="3"/>
      <c r="F29" s="3"/>
    </row>
    <row r="30" spans="1:17" x14ac:dyDescent="0.35">
      <c r="A30" s="3"/>
      <c r="B30" s="3"/>
      <c r="C30" s="3"/>
      <c r="D30" s="3"/>
      <c r="E30" s="3"/>
      <c r="F30" s="3"/>
    </row>
    <row r="31" spans="1:17" x14ac:dyDescent="0.35">
      <c r="A31" s="3"/>
      <c r="B31" s="3"/>
      <c r="C31" s="3"/>
      <c r="D31" s="3"/>
      <c r="E31" s="3"/>
      <c r="F31" s="3"/>
    </row>
    <row r="32" spans="1:17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3"/>
      <c r="B37" s="3"/>
      <c r="C37" s="3"/>
      <c r="D37" s="3"/>
      <c r="E37" s="3"/>
      <c r="F37" s="3"/>
    </row>
    <row r="38" spans="1:6" x14ac:dyDescent="0.35">
      <c r="A38" s="3"/>
      <c r="B38" s="3"/>
      <c r="C38" s="3"/>
      <c r="D38" s="3"/>
      <c r="E38" s="3"/>
      <c r="F38" s="3"/>
    </row>
    <row r="39" spans="1:6" x14ac:dyDescent="0.35">
      <c r="A39" s="3"/>
      <c r="B39" s="3"/>
      <c r="C39" s="3"/>
      <c r="D39" s="3"/>
      <c r="E39" s="3"/>
      <c r="F39" s="3"/>
    </row>
    <row r="40" spans="1:6" x14ac:dyDescent="0.35">
      <c r="A40" s="3"/>
      <c r="B40" s="3"/>
      <c r="C40" s="3"/>
      <c r="D40" s="3"/>
      <c r="E40" s="3"/>
      <c r="F40" s="3"/>
    </row>
    <row r="41" spans="1:6" x14ac:dyDescent="0.35">
      <c r="A41" s="3"/>
      <c r="B41" s="3"/>
      <c r="C41" s="3"/>
      <c r="D41" s="3"/>
      <c r="E41" s="3"/>
      <c r="F41" s="3"/>
    </row>
    <row r="42" spans="1:6" x14ac:dyDescent="0.35">
      <c r="A42" s="3"/>
      <c r="B42" s="3"/>
      <c r="C42" s="3"/>
      <c r="D42" s="3"/>
      <c r="E42" s="3"/>
      <c r="F42" s="3"/>
    </row>
    <row r="43" spans="1:6" x14ac:dyDescent="0.35">
      <c r="A43" s="3"/>
      <c r="B43" s="3"/>
      <c r="C43" s="3"/>
      <c r="D43" s="3"/>
      <c r="E43" s="3"/>
      <c r="F43" s="3"/>
    </row>
    <row r="44" spans="1:6" x14ac:dyDescent="0.35">
      <c r="A44" s="3"/>
      <c r="B44" s="3"/>
      <c r="C44" s="3"/>
      <c r="D44" s="3"/>
      <c r="E44" s="3"/>
      <c r="F44" s="3"/>
    </row>
    <row r="45" spans="1:6" x14ac:dyDescent="0.35">
      <c r="A45" s="3"/>
      <c r="B45" s="3"/>
      <c r="C45" s="3"/>
      <c r="D45" s="3"/>
      <c r="E45" s="3"/>
      <c r="F45" s="3"/>
    </row>
    <row r="46" spans="1:6" x14ac:dyDescent="0.35">
      <c r="A46" s="3"/>
      <c r="B46" s="3"/>
      <c r="C46" s="3"/>
      <c r="D46" s="3"/>
      <c r="E46" s="3"/>
      <c r="F46" s="3"/>
    </row>
    <row r="47" spans="1:6" x14ac:dyDescent="0.35">
      <c r="A47" s="3"/>
      <c r="B47" s="3"/>
      <c r="C47" s="3"/>
      <c r="D47" s="3"/>
      <c r="E47" s="3"/>
      <c r="F47" s="3"/>
    </row>
    <row r="48" spans="1:6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  <row r="52" spans="1:6" x14ac:dyDescent="0.35">
      <c r="A52" s="3"/>
      <c r="B52" s="3"/>
      <c r="C52" s="3"/>
      <c r="D52" s="3"/>
      <c r="E52" s="3"/>
      <c r="F52" s="3"/>
    </row>
    <row r="53" spans="1:6" x14ac:dyDescent="0.35">
      <c r="A53" s="3" t="s">
        <v>65</v>
      </c>
      <c r="B53" s="3"/>
      <c r="C53" s="3"/>
      <c r="D53" s="3"/>
      <c r="E53" s="3"/>
      <c r="F53" s="3"/>
    </row>
    <row r="54" spans="1:6" x14ac:dyDescent="0.35">
      <c r="A54" s="3" t="s">
        <v>66</v>
      </c>
      <c r="B54" s="3"/>
      <c r="C54" s="3"/>
      <c r="D54" s="3"/>
      <c r="E54" s="3"/>
      <c r="F54" s="3"/>
    </row>
    <row r="55" spans="1:6" x14ac:dyDescent="0.35">
      <c r="A55" s="3"/>
      <c r="B55" s="3"/>
      <c r="C55" s="3"/>
      <c r="D55" s="3"/>
      <c r="E55" s="3"/>
      <c r="F55" s="3"/>
    </row>
    <row r="56" spans="1:6" x14ac:dyDescent="0.35">
      <c r="A56" s="3" t="s">
        <v>67</v>
      </c>
      <c r="B56" s="3"/>
      <c r="C56" s="3"/>
      <c r="D56" s="3"/>
      <c r="E56" s="3"/>
      <c r="F56" s="3"/>
    </row>
    <row r="57" spans="1:6" x14ac:dyDescent="0.35">
      <c r="A57" s="3" t="s">
        <v>78</v>
      </c>
    </row>
    <row r="58" spans="1:6" x14ac:dyDescent="0.35">
      <c r="A58" s="8"/>
      <c r="B58" s="8"/>
      <c r="C58" s="8"/>
      <c r="D58" s="8"/>
      <c r="E58" s="8"/>
      <c r="F58" s="8"/>
    </row>
    <row r="59" spans="1:6" x14ac:dyDescent="0.35">
      <c r="A59" s="12"/>
      <c r="B59" s="8"/>
      <c r="C59" s="8"/>
      <c r="D59" s="8"/>
      <c r="E59" s="8"/>
      <c r="F59" s="8"/>
    </row>
    <row r="60" spans="1:6" x14ac:dyDescent="0.35">
      <c r="A60" s="8"/>
      <c r="B60" s="8"/>
      <c r="C60" s="8"/>
      <c r="D60" s="8"/>
      <c r="E60" s="8"/>
      <c r="F60" s="8"/>
    </row>
    <row r="61" spans="1:6" x14ac:dyDescent="0.35">
      <c r="A61" s="3" t="s">
        <v>63</v>
      </c>
      <c r="B61" s="3"/>
      <c r="C61" s="3"/>
      <c r="D61" s="3"/>
      <c r="E61" s="3"/>
      <c r="F61" s="3" t="s">
        <v>64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"/>
  <sheetViews>
    <sheetView zoomScale="82" zoomScaleNormal="100" workbookViewId="0">
      <selection activeCell="D19" sqref="D19:D24"/>
    </sheetView>
  </sheetViews>
  <sheetFormatPr defaultRowHeight="14.5" x14ac:dyDescent="0.35"/>
  <cols>
    <col min="1" max="1" width="39.453125" bestFit="1" customWidth="1"/>
    <col min="2" max="2" width="24.81640625" style="5" customWidth="1"/>
    <col min="3" max="3" width="27.7265625" style="5" bestFit="1" customWidth="1"/>
    <col min="4" max="4" width="26.54296875" bestFit="1" customWidth="1"/>
    <col min="5" max="5" width="54.1796875" customWidth="1"/>
  </cols>
  <sheetData>
    <row r="1" spans="1:5" x14ac:dyDescent="0.35">
      <c r="B1" s="5" t="s">
        <v>167</v>
      </c>
      <c r="C1" s="5" t="s">
        <v>168</v>
      </c>
      <c r="D1" t="s">
        <v>95</v>
      </c>
      <c r="E1" t="s">
        <v>96</v>
      </c>
    </row>
    <row r="2" spans="1:5" s="2" customFormat="1" x14ac:dyDescent="0.35">
      <c r="A2" s="2" t="s">
        <v>10</v>
      </c>
      <c r="B2" s="5"/>
      <c r="C2" s="5"/>
    </row>
    <row r="3" spans="1:5" x14ac:dyDescent="0.35">
      <c r="A3" t="s">
        <v>94</v>
      </c>
      <c r="B3" s="45">
        <v>-765.42317800000001</v>
      </c>
      <c r="C3" s="45"/>
    </row>
    <row r="4" spans="1:5" x14ac:dyDescent="0.35">
      <c r="A4" t="s">
        <v>169</v>
      </c>
      <c r="B4" s="45">
        <v>-280.94580200000001</v>
      </c>
      <c r="C4" s="45"/>
      <c r="D4" t="s">
        <v>104</v>
      </c>
      <c r="E4" t="s">
        <v>140</v>
      </c>
    </row>
    <row r="5" spans="1:5" s="2" customFormat="1" x14ac:dyDescent="0.35">
      <c r="A5" s="14" t="s">
        <v>8</v>
      </c>
      <c r="B5" s="45">
        <v>-76.411471000000006</v>
      </c>
      <c r="C5" s="45"/>
    </row>
    <row r="6" spans="1:5" s="2" customFormat="1" x14ac:dyDescent="0.35">
      <c r="A6" s="58" t="s">
        <v>7</v>
      </c>
      <c r="B6" s="60">
        <v>-204.68172200000001</v>
      </c>
      <c r="C6" s="60"/>
      <c r="E6" s="2" t="s">
        <v>139</v>
      </c>
    </row>
    <row r="7" spans="1:5" x14ac:dyDescent="0.35">
      <c r="A7" t="s">
        <v>97</v>
      </c>
      <c r="B7" s="45">
        <v>-969.84351800000002</v>
      </c>
      <c r="C7" s="45"/>
      <c r="E7" s="2" t="s">
        <v>138</v>
      </c>
    </row>
    <row r="8" spans="1:5" x14ac:dyDescent="0.35">
      <c r="A8" s="2" t="s">
        <v>98</v>
      </c>
      <c r="B8" s="76">
        <v>-969.84390599999995</v>
      </c>
      <c r="C8" s="76"/>
    </row>
    <row r="9" spans="1:5" x14ac:dyDescent="0.35">
      <c r="A9" s="2" t="s">
        <v>99</v>
      </c>
      <c r="B9" s="45">
        <v>-969.84311100000002</v>
      </c>
      <c r="C9" s="45"/>
      <c r="D9" s="4">
        <f>MIN(B7:B9)</f>
        <v>-969.84390599999995</v>
      </c>
    </row>
    <row r="11" spans="1:5" x14ac:dyDescent="0.35">
      <c r="A11" s="2" t="s">
        <v>100</v>
      </c>
      <c r="B11" s="45">
        <v>-1174.267065</v>
      </c>
      <c r="C11" s="45"/>
    </row>
    <row r="12" spans="1:5" x14ac:dyDescent="0.35">
      <c r="A12" s="2" t="s">
        <v>101</v>
      </c>
      <c r="B12" s="76">
        <v>-1174.2683689999999</v>
      </c>
      <c r="C12" s="76"/>
    </row>
    <row r="13" spans="1:5" x14ac:dyDescent="0.35">
      <c r="A13" s="2" t="s">
        <v>102</v>
      </c>
      <c r="B13" s="45">
        <v>-1174.26322</v>
      </c>
      <c r="C13" s="45"/>
      <c r="D13" s="4">
        <f>MIN(B11:B13)</f>
        <v>-1174.2683689999999</v>
      </c>
    </row>
    <row r="15" spans="1:5" x14ac:dyDescent="0.35">
      <c r="A15" s="2" t="s">
        <v>103</v>
      </c>
      <c r="B15" s="76">
        <v>-1378.686451</v>
      </c>
      <c r="C15" s="76"/>
    </row>
    <row r="17" spans="1:5" s="2" customFormat="1" x14ac:dyDescent="0.35">
      <c r="A17" s="44" t="s">
        <v>118</v>
      </c>
      <c r="B17" s="5"/>
      <c r="C17" s="5"/>
    </row>
    <row r="19" spans="1:5" x14ac:dyDescent="0.35">
      <c r="D19" s="92" t="s">
        <v>105</v>
      </c>
    </row>
    <row r="20" spans="1:5" x14ac:dyDescent="0.35">
      <c r="D20" s="92"/>
      <c r="E20" t="s">
        <v>116</v>
      </c>
    </row>
    <row r="21" spans="1:5" x14ac:dyDescent="0.35">
      <c r="D21" s="92"/>
      <c r="E21" s="2" t="s">
        <v>109</v>
      </c>
    </row>
    <row r="22" spans="1:5" x14ac:dyDescent="0.35">
      <c r="D22" s="92"/>
      <c r="E22" s="2" t="s">
        <v>117</v>
      </c>
    </row>
    <row r="23" spans="1:5" x14ac:dyDescent="0.35">
      <c r="D23" s="92"/>
    </row>
    <row r="24" spans="1:5" x14ac:dyDescent="0.35">
      <c r="D24" s="92"/>
    </row>
    <row r="26" spans="1:5" x14ac:dyDescent="0.35">
      <c r="D26" s="92" t="s">
        <v>106</v>
      </c>
    </row>
    <row r="27" spans="1:5" x14ac:dyDescent="0.35">
      <c r="D27" s="92"/>
    </row>
    <row r="28" spans="1:5" x14ac:dyDescent="0.35">
      <c r="D28" s="92"/>
      <c r="E28" t="s">
        <v>141</v>
      </c>
    </row>
    <row r="29" spans="1:5" x14ac:dyDescent="0.35">
      <c r="D29" s="92"/>
    </row>
    <row r="31" spans="1:5" x14ac:dyDescent="0.35">
      <c r="A31" s="1" t="s">
        <v>107</v>
      </c>
    </row>
    <row r="44" spans="1:1" x14ac:dyDescent="0.35">
      <c r="A44" s="1" t="s">
        <v>108</v>
      </c>
    </row>
    <row r="58" spans="1:6" x14ac:dyDescent="0.35">
      <c r="A58" t="s">
        <v>212</v>
      </c>
      <c r="B58" s="91" t="s">
        <v>213</v>
      </c>
      <c r="D58" s="80" t="s">
        <v>175</v>
      </c>
    </row>
    <row r="59" spans="1:6" x14ac:dyDescent="0.35">
      <c r="A59" s="77" t="s">
        <v>170</v>
      </c>
      <c r="B59" s="78" t="s">
        <v>171</v>
      </c>
      <c r="C59" s="5" t="s">
        <v>172</v>
      </c>
      <c r="D59" t="s">
        <v>173</v>
      </c>
      <c r="F59" t="s">
        <v>205</v>
      </c>
    </row>
    <row r="60" spans="1:6" x14ac:dyDescent="0.35">
      <c r="A60">
        <v>0</v>
      </c>
      <c r="B60" s="5">
        <f>(B3+A60*$B$5-$B$3-A60*$B$4)*2600</f>
        <v>0</v>
      </c>
      <c r="D60" s="79" t="s">
        <v>174</v>
      </c>
    </row>
    <row r="61" spans="1:6" x14ac:dyDescent="0.35">
      <c r="A61">
        <v>1</v>
      </c>
      <c r="B61" s="5">
        <f>(B8+A61*$B$5-$B$3-A61*$B$4)*2600</f>
        <v>295.3678000001787</v>
      </c>
      <c r="D61" s="79" t="s">
        <v>176</v>
      </c>
    </row>
    <row r="62" spans="1:6" x14ac:dyDescent="0.35">
      <c r="A62">
        <v>2</v>
      </c>
      <c r="B62" s="5">
        <f>(B12+A62*$B$5-$B$3-A62*$B$4)*2600</f>
        <v>581.02460000034171</v>
      </c>
    </row>
    <row r="63" spans="1:6" x14ac:dyDescent="0.35">
      <c r="A63">
        <v>3</v>
      </c>
      <c r="B63" s="5">
        <f>(B15+A63*$B$5-$B$3-A63*$B$4)*2600</f>
        <v>883.27199999985169</v>
      </c>
    </row>
    <row r="65" spans="1:5" x14ac:dyDescent="0.35">
      <c r="A65" t="s">
        <v>192</v>
      </c>
      <c r="B65" s="78" t="s">
        <v>171</v>
      </c>
    </row>
    <row r="66" spans="1:5" x14ac:dyDescent="0.35">
      <c r="A66" s="2">
        <v>0</v>
      </c>
    </row>
    <row r="67" spans="1:5" x14ac:dyDescent="0.35">
      <c r="A67" s="2">
        <v>1</v>
      </c>
      <c r="B67" s="5">
        <f>(B12+A67*$B$4-$B$15-A67*$B$5)*2600</f>
        <v>-302.24739999950998</v>
      </c>
      <c r="D67" s="79" t="s">
        <v>176</v>
      </c>
    </row>
    <row r="68" spans="1:5" x14ac:dyDescent="0.35">
      <c r="A68" s="2">
        <v>2</v>
      </c>
      <c r="B68" s="5">
        <f>(B8+A68*$B$4-$B$15-A68*$B$5)*2600</f>
        <v>-587.90419999982078</v>
      </c>
    </row>
    <row r="69" spans="1:5" x14ac:dyDescent="0.35">
      <c r="A69" s="2">
        <v>3</v>
      </c>
      <c r="B69" s="5">
        <f>(B3+A69*$B$4-$B$15-A69*$B$5)*2600</f>
        <v>-883.27200000014727</v>
      </c>
      <c r="D69" t="s">
        <v>196</v>
      </c>
    </row>
    <row r="70" spans="1:5" x14ac:dyDescent="0.35">
      <c r="A70" t="s">
        <v>203</v>
      </c>
      <c r="D70">
        <v>-302.24739999950998</v>
      </c>
    </row>
    <row r="71" spans="1:5" x14ac:dyDescent="0.35">
      <c r="A71" t="s">
        <v>204</v>
      </c>
    </row>
    <row r="73" spans="1:5" x14ac:dyDescent="0.35">
      <c r="A73" t="s">
        <v>214</v>
      </c>
      <c r="B73" s="5" t="s">
        <v>215</v>
      </c>
    </row>
    <row r="74" spans="1:5" x14ac:dyDescent="0.35">
      <c r="A74" s="77" t="s">
        <v>170</v>
      </c>
      <c r="B74" s="78" t="s">
        <v>171</v>
      </c>
      <c r="C74" s="5" t="s">
        <v>172</v>
      </c>
      <c r="D74" s="2" t="s">
        <v>173</v>
      </c>
      <c r="E74" s="2"/>
    </row>
    <row r="75" spans="1:5" x14ac:dyDescent="0.35">
      <c r="A75" s="2">
        <v>0</v>
      </c>
      <c r="B75" s="5">
        <f>(B3+A75*$B$5-$B$3-A75*$B$4)*2600</f>
        <v>0</v>
      </c>
      <c r="D75" s="79" t="s">
        <v>174</v>
      </c>
      <c r="E75" s="2"/>
    </row>
    <row r="76" spans="1:5" x14ac:dyDescent="0.35">
      <c r="A76" s="2">
        <v>1</v>
      </c>
      <c r="B76" s="5">
        <f>(B8+A76*$B$5-$B$3-A76*$B$4)*2600</f>
        <v>295.3678000001787</v>
      </c>
      <c r="D76" s="79" t="s">
        <v>176</v>
      </c>
      <c r="E76" s="2"/>
    </row>
    <row r="77" spans="1:5" x14ac:dyDescent="0.35">
      <c r="A77" s="2">
        <v>2</v>
      </c>
      <c r="B77" s="5">
        <f>(B12+A77*$B$5-$B$3-A77*$B$4)*2600</f>
        <v>581.02460000034171</v>
      </c>
      <c r="D77" s="2"/>
      <c r="E77" s="2"/>
    </row>
    <row r="78" spans="1:5" x14ac:dyDescent="0.35">
      <c r="A78" s="2">
        <v>3</v>
      </c>
      <c r="B78" s="5">
        <f>(B15+A78*$B$5-$B$3-A78*$B$4)*2600</f>
        <v>883.27199999985169</v>
      </c>
      <c r="D78" s="2"/>
      <c r="E78" s="2"/>
    </row>
  </sheetData>
  <mergeCells count="2">
    <mergeCell ref="D19:D24"/>
    <mergeCell ref="D26:D29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5121" r:id="rId4">
          <object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4</xdr:col>
                <xdr:colOff>3289300</xdr:colOff>
                <xdr:row>40</xdr:row>
                <xdr:rowOff>171450</xdr:rowOff>
              </to>
            </anchor>
          </objectPr>
        </oleObject>
      </mc:Choice>
      <mc:Fallback>
        <oleObject progId="ChemDraw.Document.6.0" shapeId="5121" r:id="rId4"/>
      </mc:Fallback>
    </mc:AlternateContent>
    <mc:AlternateContent xmlns:mc="http://schemas.openxmlformats.org/markup-compatibility/2006">
      <mc:Choice Requires="x14">
        <oleObject progId="ChemDraw.Document.6.0" shapeId="5122" r:id="rId6">
          <objectPr defaultSize="0" r:id="rId7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4</xdr:col>
                <xdr:colOff>3575050</xdr:colOff>
                <xdr:row>56</xdr:row>
                <xdr:rowOff>19050</xdr:rowOff>
              </to>
            </anchor>
          </objectPr>
        </oleObject>
      </mc:Choice>
      <mc:Fallback>
        <oleObject progId="ChemDraw.Document.6.0" shapeId="5122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1"/>
  <sheetViews>
    <sheetView workbookViewId="0">
      <selection activeCell="B35" sqref="B35"/>
    </sheetView>
  </sheetViews>
  <sheetFormatPr defaultRowHeight="14.5" x14ac:dyDescent="0.35"/>
  <cols>
    <col min="1" max="1" width="19" bestFit="1" customWidth="1"/>
    <col min="2" max="12" width="12" bestFit="1" customWidth="1"/>
    <col min="14" max="14" width="20.7265625" bestFit="1" customWidth="1"/>
    <col min="15" max="15" width="31.81640625" bestFit="1" customWidth="1"/>
    <col min="17" max="17" width="7.1796875" bestFit="1" customWidth="1"/>
    <col min="18" max="18" width="36.453125" bestFit="1" customWidth="1"/>
  </cols>
  <sheetData>
    <row r="1" spans="1:24" s="2" customFormat="1" x14ac:dyDescent="0.35">
      <c r="A1" s="2" t="s">
        <v>200</v>
      </c>
      <c r="B1" s="93" t="s">
        <v>178</v>
      </c>
      <c r="C1" s="93"/>
      <c r="D1" s="93"/>
      <c r="E1" s="93"/>
      <c r="F1" s="93"/>
      <c r="G1" s="93"/>
      <c r="H1" s="93"/>
    </row>
    <row r="2" spans="1:24" s="2" customFormat="1" x14ac:dyDescent="0.35">
      <c r="A2" s="2" t="s">
        <v>206</v>
      </c>
      <c r="B2" s="93" t="s">
        <v>177</v>
      </c>
      <c r="C2" s="93"/>
      <c r="D2" s="93"/>
      <c r="E2" s="93"/>
      <c r="F2" s="93"/>
      <c r="G2" s="93"/>
      <c r="H2" s="93"/>
    </row>
    <row r="3" spans="1:24" s="2" customFormat="1" x14ac:dyDescent="0.35">
      <c r="A3" s="2" t="s">
        <v>179</v>
      </c>
      <c r="B3" s="2">
        <v>1E-8</v>
      </c>
      <c r="C3" s="2">
        <v>0.1</v>
      </c>
      <c r="D3" s="2">
        <v>0.2</v>
      </c>
      <c r="E3" s="2">
        <v>0.3</v>
      </c>
      <c r="F3" s="2">
        <v>0.4</v>
      </c>
      <c r="G3" s="2">
        <v>0.5</v>
      </c>
      <c r="H3" s="2">
        <v>0.6</v>
      </c>
      <c r="I3" s="2">
        <v>0.7</v>
      </c>
      <c r="J3" s="2">
        <v>0.8</v>
      </c>
      <c r="K3" s="2">
        <v>0.9</v>
      </c>
      <c r="L3" s="2">
        <v>1</v>
      </c>
    </row>
    <row r="4" spans="1:24" s="2" customFormat="1" x14ac:dyDescent="0.35">
      <c r="A4" s="2">
        <v>0</v>
      </c>
      <c r="B4" s="79" t="e">
        <f>0.008314*298*LN(($B$18*(0*$B$18)^(0))/($A4*(1-0*$B$18)^(0)))</f>
        <v>#NUM!</v>
      </c>
      <c r="C4" s="79" t="e">
        <f t="shared" ref="C4:L14" si="0">0.008314*298*LN(($B$18*(0*$B$18)^(0))/($A4*(1-0*$B$18)^(0)))</f>
        <v>#NUM!</v>
      </c>
      <c r="D4" s="79" t="e">
        <f t="shared" si="0"/>
        <v>#NUM!</v>
      </c>
      <c r="E4" s="79" t="e">
        <f t="shared" si="0"/>
        <v>#NUM!</v>
      </c>
      <c r="F4" s="79" t="e">
        <f t="shared" si="0"/>
        <v>#NUM!</v>
      </c>
      <c r="G4" s="79" t="e">
        <f t="shared" si="0"/>
        <v>#NUM!</v>
      </c>
      <c r="H4" s="79" t="e">
        <f t="shared" si="0"/>
        <v>#NUM!</v>
      </c>
      <c r="I4" s="79" t="e">
        <f t="shared" si="0"/>
        <v>#NUM!</v>
      </c>
      <c r="J4" s="79" t="e">
        <f t="shared" si="0"/>
        <v>#NUM!</v>
      </c>
      <c r="K4" s="79" t="e">
        <f t="shared" si="0"/>
        <v>#NUM!</v>
      </c>
      <c r="L4" s="79" t="e">
        <f t="shared" si="0"/>
        <v>#NUM!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24" s="2" customFormat="1" x14ac:dyDescent="0.35">
      <c r="A5" s="2">
        <v>0.1</v>
      </c>
      <c r="B5" s="79" t="e">
        <f t="shared" ref="B5:B14" si="1">0.008314*298*LN(($B$18*(0*$B$18)^(0))/($A5*(1-0*$B$18)^(0)))</f>
        <v>#NUM!</v>
      </c>
      <c r="C5" s="79" t="e">
        <f t="shared" si="0"/>
        <v>#NUM!</v>
      </c>
      <c r="D5" s="79" t="e">
        <f t="shared" si="0"/>
        <v>#NUM!</v>
      </c>
      <c r="E5" s="79" t="e">
        <f t="shared" si="0"/>
        <v>#NUM!</v>
      </c>
      <c r="F5" s="79" t="e">
        <f t="shared" si="0"/>
        <v>#NUM!</v>
      </c>
      <c r="G5" s="79" t="e">
        <f t="shared" si="0"/>
        <v>#NUM!</v>
      </c>
      <c r="H5" s="79" t="e">
        <f t="shared" si="0"/>
        <v>#NUM!</v>
      </c>
      <c r="I5" s="79" t="e">
        <f t="shared" si="0"/>
        <v>#NUM!</v>
      </c>
      <c r="J5" s="79" t="e">
        <f t="shared" si="0"/>
        <v>#NUM!</v>
      </c>
      <c r="K5" s="79" t="e">
        <f t="shared" si="0"/>
        <v>#NUM!</v>
      </c>
      <c r="L5" s="79" t="e">
        <f t="shared" si="0"/>
        <v>#NUM!</v>
      </c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24" s="2" customFormat="1" x14ac:dyDescent="0.35">
      <c r="A6" s="2">
        <v>0.2</v>
      </c>
      <c r="B6" s="79" t="e">
        <f t="shared" si="1"/>
        <v>#NUM!</v>
      </c>
      <c r="C6" s="79" t="e">
        <f t="shared" si="0"/>
        <v>#NUM!</v>
      </c>
      <c r="D6" s="79" t="e">
        <f t="shared" si="0"/>
        <v>#NUM!</v>
      </c>
      <c r="E6" s="79" t="e">
        <f t="shared" si="0"/>
        <v>#NUM!</v>
      </c>
      <c r="F6" s="79" t="e">
        <f t="shared" si="0"/>
        <v>#NUM!</v>
      </c>
      <c r="G6" s="79" t="e">
        <f t="shared" si="0"/>
        <v>#NUM!</v>
      </c>
      <c r="H6" s="79" t="e">
        <f t="shared" si="0"/>
        <v>#NUM!</v>
      </c>
      <c r="I6" s="79" t="e">
        <f t="shared" si="0"/>
        <v>#NUM!</v>
      </c>
      <c r="J6" s="79" t="e">
        <f t="shared" si="0"/>
        <v>#NUM!</v>
      </c>
      <c r="K6" s="79" t="e">
        <f t="shared" si="0"/>
        <v>#NUM!</v>
      </c>
      <c r="L6" s="79" t="e">
        <f t="shared" si="0"/>
        <v>#NUM!</v>
      </c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</row>
    <row r="7" spans="1:24" s="2" customFormat="1" x14ac:dyDescent="0.35">
      <c r="A7" s="2">
        <v>0.3</v>
      </c>
      <c r="B7" s="79" t="e">
        <f t="shared" si="1"/>
        <v>#NUM!</v>
      </c>
      <c r="C7" s="79" t="e">
        <f t="shared" si="0"/>
        <v>#NUM!</v>
      </c>
      <c r="D7" s="79" t="e">
        <f t="shared" si="0"/>
        <v>#NUM!</v>
      </c>
      <c r="E7" s="79" t="e">
        <f t="shared" si="0"/>
        <v>#NUM!</v>
      </c>
      <c r="F7" s="79" t="e">
        <f t="shared" si="0"/>
        <v>#NUM!</v>
      </c>
      <c r="G7" s="79" t="e">
        <f t="shared" si="0"/>
        <v>#NUM!</v>
      </c>
      <c r="H7" s="79" t="e">
        <f t="shared" si="0"/>
        <v>#NUM!</v>
      </c>
      <c r="I7" s="79" t="e">
        <f t="shared" si="0"/>
        <v>#NUM!</v>
      </c>
      <c r="J7" s="79" t="e">
        <f t="shared" si="0"/>
        <v>#NUM!</v>
      </c>
      <c r="K7" s="79" t="e">
        <f t="shared" si="0"/>
        <v>#NUM!</v>
      </c>
      <c r="L7" s="79" t="e">
        <f t="shared" si="0"/>
        <v>#NUM!</v>
      </c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</row>
    <row r="8" spans="1:24" s="2" customFormat="1" x14ac:dyDescent="0.35">
      <c r="A8" s="2">
        <v>0.4</v>
      </c>
      <c r="B8" s="79" t="e">
        <f t="shared" si="1"/>
        <v>#NUM!</v>
      </c>
      <c r="C8" s="79" t="e">
        <f t="shared" si="0"/>
        <v>#NUM!</v>
      </c>
      <c r="D8" s="79" t="e">
        <f t="shared" si="0"/>
        <v>#NUM!</v>
      </c>
      <c r="E8" s="79" t="e">
        <f t="shared" si="0"/>
        <v>#NUM!</v>
      </c>
      <c r="F8" s="79" t="e">
        <f t="shared" si="0"/>
        <v>#NUM!</v>
      </c>
      <c r="G8" s="79" t="e">
        <f t="shared" si="0"/>
        <v>#NUM!</v>
      </c>
      <c r="H8" s="79" t="e">
        <f t="shared" si="0"/>
        <v>#NUM!</v>
      </c>
      <c r="I8" s="79" t="e">
        <f t="shared" si="0"/>
        <v>#NUM!</v>
      </c>
      <c r="J8" s="79" t="e">
        <f t="shared" si="0"/>
        <v>#NUM!</v>
      </c>
      <c r="K8" s="79" t="e">
        <f t="shared" si="0"/>
        <v>#NUM!</v>
      </c>
      <c r="L8" s="79" t="e">
        <f t="shared" si="0"/>
        <v>#NUM!</v>
      </c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</row>
    <row r="9" spans="1:24" s="2" customFormat="1" x14ac:dyDescent="0.35">
      <c r="A9" s="2">
        <v>0.5</v>
      </c>
      <c r="B9" s="79" t="e">
        <f t="shared" si="1"/>
        <v>#NUM!</v>
      </c>
      <c r="C9" s="79" t="e">
        <f t="shared" si="0"/>
        <v>#NUM!</v>
      </c>
      <c r="D9" s="79" t="e">
        <f t="shared" si="0"/>
        <v>#NUM!</v>
      </c>
      <c r="E9" s="79" t="e">
        <f t="shared" si="0"/>
        <v>#NUM!</v>
      </c>
      <c r="F9" s="79" t="e">
        <f t="shared" si="0"/>
        <v>#NUM!</v>
      </c>
      <c r="G9" s="79" t="e">
        <f t="shared" si="0"/>
        <v>#NUM!</v>
      </c>
      <c r="H9" s="79" t="e">
        <f t="shared" si="0"/>
        <v>#NUM!</v>
      </c>
      <c r="I9" s="79" t="e">
        <f t="shared" si="0"/>
        <v>#NUM!</v>
      </c>
      <c r="J9" s="79" t="e">
        <f t="shared" si="0"/>
        <v>#NUM!</v>
      </c>
      <c r="K9" s="79" t="e">
        <f t="shared" si="0"/>
        <v>#NUM!</v>
      </c>
      <c r="L9" s="79" t="e">
        <f t="shared" si="0"/>
        <v>#NUM!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</row>
    <row r="10" spans="1:24" s="2" customFormat="1" x14ac:dyDescent="0.35">
      <c r="A10" s="2">
        <v>0.6</v>
      </c>
      <c r="B10" s="79" t="e">
        <f t="shared" si="1"/>
        <v>#NUM!</v>
      </c>
      <c r="C10" s="79" t="e">
        <f t="shared" si="0"/>
        <v>#NUM!</v>
      </c>
      <c r="D10" s="79" t="e">
        <f t="shared" si="0"/>
        <v>#NUM!</v>
      </c>
      <c r="E10" s="79" t="e">
        <f t="shared" si="0"/>
        <v>#NUM!</v>
      </c>
      <c r="F10" s="79" t="e">
        <f t="shared" si="0"/>
        <v>#NUM!</v>
      </c>
      <c r="G10" s="79" t="e">
        <f t="shared" si="0"/>
        <v>#NUM!</v>
      </c>
      <c r="H10" s="79" t="e">
        <f t="shared" si="0"/>
        <v>#NUM!</v>
      </c>
      <c r="I10" s="79" t="e">
        <f t="shared" si="0"/>
        <v>#NUM!</v>
      </c>
      <c r="J10" s="79" t="e">
        <f t="shared" si="0"/>
        <v>#NUM!</v>
      </c>
      <c r="K10" s="79" t="e">
        <f t="shared" si="0"/>
        <v>#NUM!</v>
      </c>
      <c r="L10" s="79" t="e">
        <f t="shared" si="0"/>
        <v>#NUM!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</row>
    <row r="11" spans="1:24" s="2" customFormat="1" x14ac:dyDescent="0.35">
      <c r="A11" s="2">
        <v>0.7</v>
      </c>
      <c r="B11" s="79" t="e">
        <f t="shared" si="1"/>
        <v>#NUM!</v>
      </c>
      <c r="C11" s="79" t="e">
        <f t="shared" si="0"/>
        <v>#NUM!</v>
      </c>
      <c r="D11" s="79" t="e">
        <f t="shared" si="0"/>
        <v>#NUM!</v>
      </c>
      <c r="E11" s="79" t="e">
        <f t="shared" si="0"/>
        <v>#NUM!</v>
      </c>
      <c r="F11" s="79" t="e">
        <f t="shared" si="0"/>
        <v>#NUM!</v>
      </c>
      <c r="G11" s="79" t="e">
        <f t="shared" si="0"/>
        <v>#NUM!</v>
      </c>
      <c r="H11" s="79" t="e">
        <f t="shared" si="0"/>
        <v>#NUM!</v>
      </c>
      <c r="I11" s="79" t="e">
        <f t="shared" si="0"/>
        <v>#NUM!</v>
      </c>
      <c r="J11" s="79" t="e">
        <f t="shared" si="0"/>
        <v>#NUM!</v>
      </c>
      <c r="K11" s="79" t="e">
        <f t="shared" si="0"/>
        <v>#NUM!</v>
      </c>
      <c r="L11" s="79" t="e">
        <f t="shared" si="0"/>
        <v>#NUM!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</row>
    <row r="12" spans="1:24" s="2" customFormat="1" x14ac:dyDescent="0.35">
      <c r="A12" s="2">
        <v>0.8</v>
      </c>
      <c r="B12" s="79" t="e">
        <f t="shared" si="1"/>
        <v>#NUM!</v>
      </c>
      <c r="C12" s="79" t="e">
        <f t="shared" si="0"/>
        <v>#NUM!</v>
      </c>
      <c r="D12" s="79" t="e">
        <f t="shared" si="0"/>
        <v>#NUM!</v>
      </c>
      <c r="E12" s="79" t="e">
        <f t="shared" si="0"/>
        <v>#NUM!</v>
      </c>
      <c r="F12" s="79" t="e">
        <f t="shared" si="0"/>
        <v>#NUM!</v>
      </c>
      <c r="G12" s="79" t="e">
        <f t="shared" si="0"/>
        <v>#NUM!</v>
      </c>
      <c r="H12" s="79" t="e">
        <f t="shared" si="0"/>
        <v>#NUM!</v>
      </c>
      <c r="I12" s="79" t="e">
        <f t="shared" si="0"/>
        <v>#NUM!</v>
      </c>
      <c r="J12" s="79" t="e">
        <f t="shared" si="0"/>
        <v>#NUM!</v>
      </c>
      <c r="K12" s="79" t="e">
        <f t="shared" si="0"/>
        <v>#NUM!</v>
      </c>
      <c r="L12" s="79" t="e">
        <f t="shared" si="0"/>
        <v>#NUM!</v>
      </c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</row>
    <row r="13" spans="1:24" s="2" customFormat="1" x14ac:dyDescent="0.35">
      <c r="A13" s="2">
        <v>0.9</v>
      </c>
      <c r="B13" s="79" t="e">
        <f t="shared" si="1"/>
        <v>#NUM!</v>
      </c>
      <c r="C13" s="79" t="e">
        <f t="shared" si="0"/>
        <v>#NUM!</v>
      </c>
      <c r="D13" s="79" t="e">
        <f t="shared" si="0"/>
        <v>#NUM!</v>
      </c>
      <c r="E13" s="79" t="e">
        <f t="shared" si="0"/>
        <v>#NUM!</v>
      </c>
      <c r="F13" s="79" t="e">
        <f t="shared" si="0"/>
        <v>#NUM!</v>
      </c>
      <c r="G13" s="79" t="e">
        <f t="shared" si="0"/>
        <v>#NUM!</v>
      </c>
      <c r="H13" s="79" t="e">
        <f t="shared" si="0"/>
        <v>#NUM!</v>
      </c>
      <c r="I13" s="79" t="e">
        <f t="shared" si="0"/>
        <v>#NUM!</v>
      </c>
      <c r="J13" s="79" t="e">
        <f t="shared" si="0"/>
        <v>#NUM!</v>
      </c>
      <c r="K13" s="79" t="e">
        <f t="shared" si="0"/>
        <v>#NUM!</v>
      </c>
      <c r="L13" s="79" t="e">
        <f t="shared" si="0"/>
        <v>#NUM!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</row>
    <row r="14" spans="1:24" s="2" customFormat="1" x14ac:dyDescent="0.35">
      <c r="A14" s="2">
        <v>1</v>
      </c>
      <c r="B14" s="79" t="e">
        <f t="shared" si="1"/>
        <v>#NUM!</v>
      </c>
      <c r="C14" s="79" t="e">
        <f t="shared" si="0"/>
        <v>#NUM!</v>
      </c>
      <c r="D14" s="79" t="e">
        <f t="shared" si="0"/>
        <v>#NUM!</v>
      </c>
      <c r="E14" s="79" t="e">
        <f t="shared" si="0"/>
        <v>#NUM!</v>
      </c>
      <c r="F14" s="79" t="e">
        <f t="shared" si="0"/>
        <v>#NUM!</v>
      </c>
      <c r="G14" s="79" t="e">
        <f t="shared" si="0"/>
        <v>#NUM!</v>
      </c>
      <c r="H14" s="79" t="e">
        <f t="shared" si="0"/>
        <v>#NUM!</v>
      </c>
      <c r="I14" s="79" t="e">
        <f t="shared" si="0"/>
        <v>#NUM!</v>
      </c>
      <c r="J14" s="79" t="e">
        <f t="shared" si="0"/>
        <v>#NUM!</v>
      </c>
      <c r="K14" s="79" t="e">
        <f t="shared" si="0"/>
        <v>#NUM!</v>
      </c>
      <c r="L14" s="79" t="e">
        <f t="shared" si="0"/>
        <v>#NUM!</v>
      </c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</row>
    <row r="15" spans="1:24" s="2" customFormat="1" x14ac:dyDescent="0.35">
      <c r="B15" s="85"/>
      <c r="C15" s="85"/>
      <c r="D15" s="85"/>
      <c r="E15" s="85"/>
      <c r="F15" s="85"/>
      <c r="G15" s="85"/>
      <c r="H15" s="85"/>
    </row>
    <row r="16" spans="1:24" s="2" customFormat="1" x14ac:dyDescent="0.35">
      <c r="B16" s="85"/>
      <c r="C16" s="85"/>
      <c r="D16" s="85"/>
      <c r="E16" s="85"/>
      <c r="F16" s="85"/>
      <c r="G16" s="85"/>
      <c r="H16" s="85"/>
    </row>
    <row r="17" spans="1:18" x14ac:dyDescent="0.35">
      <c r="A17" t="s">
        <v>181</v>
      </c>
      <c r="B17" s="93" t="s">
        <v>177</v>
      </c>
      <c r="C17" s="93"/>
      <c r="D17" s="93"/>
      <c r="E17" s="93"/>
      <c r="F17" s="93"/>
      <c r="G17" s="93"/>
      <c r="H17" s="93"/>
    </row>
    <row r="18" spans="1:18" x14ac:dyDescent="0.35">
      <c r="A18" t="s">
        <v>179</v>
      </c>
      <c r="B18" s="2">
        <v>1E-8</v>
      </c>
      <c r="C18" s="2">
        <v>0.1</v>
      </c>
      <c r="D18" s="2">
        <v>0.2</v>
      </c>
      <c r="E18" s="2">
        <v>0.3</v>
      </c>
      <c r="F18" s="2">
        <v>0.4</v>
      </c>
      <c r="G18" s="2">
        <v>0.5</v>
      </c>
      <c r="H18" s="2">
        <v>0.6</v>
      </c>
      <c r="I18">
        <v>0.7</v>
      </c>
      <c r="J18">
        <v>0.8</v>
      </c>
      <c r="K18">
        <v>0.9</v>
      </c>
      <c r="L18">
        <v>1</v>
      </c>
      <c r="N18" t="s">
        <v>187</v>
      </c>
      <c r="O18" t="s">
        <v>185</v>
      </c>
    </row>
    <row r="19" spans="1:18" x14ac:dyDescent="0.35">
      <c r="A19">
        <v>0</v>
      </c>
      <c r="B19" s="79" t="e">
        <f>295.3678+0.008314*298*LN(($B$18*(1*$B$18)^(1))/($A19*(1-1*$B$18)^(1)))</f>
        <v>#DIV/0!</v>
      </c>
      <c r="C19" s="79" t="e">
        <f>295.3678+0.008314*298*LN(($C$18*(1*$C$18)^(1))/($A19*(1-1*$C$18)^(1)))</f>
        <v>#DIV/0!</v>
      </c>
      <c r="D19" s="79" t="e">
        <f>295.3678+0.008314*298*LN(($D$18*(1*$D$18)^(1))/($A19*(1-1*$D$18)^(1)))</f>
        <v>#DIV/0!</v>
      </c>
      <c r="E19" s="79" t="e">
        <f>295.3678+0.008314*298*LN(($E$18*(1*$E$18)^(1))/($A19*(1-1*$E$18)^(1)))</f>
        <v>#DIV/0!</v>
      </c>
      <c r="F19" s="79" t="e">
        <f>295.3678+0.008314*298*LN(($F$18*(1*$F$18)^(1))/($A19*(1-1*$F$18)^(1)))</f>
        <v>#DIV/0!</v>
      </c>
      <c r="G19" s="79" t="e">
        <f>295.3678+0.008314*298*LN(($G$18*(1*$G$18)^(1))/($A19*(1-1*$G$18)^(1)))</f>
        <v>#DIV/0!</v>
      </c>
      <c r="H19" s="79" t="e">
        <f>295.3678+0.008314*298*LN(($H$18*(1*$H$18)^(1))/($A19*(1-1*$H$18)^(1)))</f>
        <v>#DIV/0!</v>
      </c>
      <c r="I19" s="79" t="e">
        <f>295.3678+0.008314*298*LN(($I$18*(1*$I$18)^(1))/($A19*(1-1*$I$18)^(1)))</f>
        <v>#DIV/0!</v>
      </c>
      <c r="J19" s="79" t="e">
        <f>295.3678+0.008314*298*LN(($J$18*(1*$J$18)^(1))/($A19*(1-1*$J$18)^(1)))</f>
        <v>#DIV/0!</v>
      </c>
      <c r="K19" s="79" t="e">
        <f>295.3678+0.008314*298*LN(($K$18*(1*$K$18)^(1))/($A19*(1-1*$K$18)^(1)))</f>
        <v>#DIV/0!</v>
      </c>
      <c r="L19" s="79" t="e">
        <f>295.3678+0.008314*298*LN(($L$18*(1*$L$18)^(1))/($A19*(1-1*$L$18)^(1)))</f>
        <v>#DIV/0!</v>
      </c>
      <c r="N19" t="s">
        <v>184</v>
      </c>
      <c r="O19" t="s">
        <v>186</v>
      </c>
      <c r="Q19" t="s">
        <v>197</v>
      </c>
      <c r="R19" t="s">
        <v>198</v>
      </c>
    </row>
    <row r="20" spans="1:18" x14ac:dyDescent="0.35">
      <c r="A20">
        <v>0.1</v>
      </c>
      <c r="B20" s="79">
        <f t="shared" ref="B20:B29" si="2">295.3678+0.008314*298*LN(($B$18*(1*$B$18)^(1))/($A20*(1-1*$B$18)^(1)))</f>
        <v>209.79549471448405</v>
      </c>
      <c r="C20" s="79">
        <f t="shared" ref="C20:C29" si="3">295.3678+0.008314*298*LN(($C$18*(1*$C$18)^(1))/($A20*(1-1*$C$18)^(1)))</f>
        <v>289.92401790947991</v>
      </c>
      <c r="D20" s="79">
        <f t="shared" ref="D20:D29" si="4">295.3678+0.008314*298*LN(($D$18*(1*$D$18)^(1))/($A20*(1-1*$D$18)^(1)))</f>
        <v>293.65047795356571</v>
      </c>
      <c r="E20" s="79">
        <f t="shared" ref="E20:E29" si="5">295.3678+0.008314*298*LN(($E$18*(1*$E$18)^(1))/($A20*(1-1*$E$18)^(1)))</f>
        <v>295.99044959070477</v>
      </c>
      <c r="F20" s="79">
        <f t="shared" ref="F20:F29" si="6">295.3678+0.008314*298*LN(($F$18*(1*$F$18)^(1))/($A20*(1-1*$F$18)^(1)))</f>
        <v>297.79787509404275</v>
      </c>
      <c r="G20" s="79">
        <f t="shared" ref="G20:G29" si="7">295.3678+0.008314*298*LN(($G$18*(1*$G$18)^(1))/($A20*(1-1*$G$18)^(1)))</f>
        <v>299.35529830758514</v>
      </c>
      <c r="H20" s="79">
        <f t="shared" ref="H20:H29" si="8">295.3678+0.008314*298*LN(($H$18*(1*$H$18)^(1))/($A20*(1-1*$H$18)^(1)))</f>
        <v>300.81158209052006</v>
      </c>
      <c r="I20" s="79">
        <f t="shared" ref="I20:I29" si="9">295.3678+0.008314*298*LN(($I$18*(1*$I$18)^(1))/($A20*(1-1*$I$18)^(1)))</f>
        <v>302.28817395437051</v>
      </c>
      <c r="J20" s="79">
        <f t="shared" ref="J20:J29" si="10">295.3678+0.008314*298*LN(($J$18*(1*$J$18)^(1))/($A20*(1-1*$J$18)^(1)))</f>
        <v>303.95441023217131</v>
      </c>
      <c r="K20" s="79">
        <f t="shared" ref="K20:K29" si="11">295.3678+0.008314*298*LN(($K$18*(1*$K$18)^(1))/($A20*(1-1*$K$18)^(1)))</f>
        <v>306.25536418104008</v>
      </c>
      <c r="L20" s="79" t="e">
        <f t="shared" ref="L20:L29" si="12">295.3678+0.008314*298*LN(($L$18*(1*$L$18)^(1))/($A20*(1-1*$L$18)^(1)))</f>
        <v>#DIV/0!</v>
      </c>
      <c r="O20" t="s">
        <v>188</v>
      </c>
    </row>
    <row r="21" spans="1:18" x14ac:dyDescent="0.35">
      <c r="A21">
        <v>0.2</v>
      </c>
      <c r="B21" s="79">
        <f t="shared" si="2"/>
        <v>208.07817266804977</v>
      </c>
      <c r="C21" s="79">
        <f t="shared" si="3"/>
        <v>288.2066958630457</v>
      </c>
      <c r="D21" s="79">
        <f t="shared" si="4"/>
        <v>291.93315590713144</v>
      </c>
      <c r="E21" s="79">
        <f t="shared" si="5"/>
        <v>294.27312754427049</v>
      </c>
      <c r="F21" s="79">
        <f t="shared" si="6"/>
        <v>296.08055304760848</v>
      </c>
      <c r="G21" s="79">
        <f t="shared" si="7"/>
        <v>297.63797626115092</v>
      </c>
      <c r="H21" s="79">
        <f t="shared" si="8"/>
        <v>299.09426004408579</v>
      </c>
      <c r="I21" s="79">
        <f t="shared" si="9"/>
        <v>300.57085190793623</v>
      </c>
      <c r="J21" s="79">
        <f t="shared" si="10"/>
        <v>302.23708818573704</v>
      </c>
      <c r="K21" s="79">
        <f t="shared" si="11"/>
        <v>304.5380421346058</v>
      </c>
      <c r="L21" s="79" t="e">
        <f t="shared" si="12"/>
        <v>#DIV/0!</v>
      </c>
    </row>
    <row r="22" spans="1:18" x14ac:dyDescent="0.35">
      <c r="A22">
        <v>0.3</v>
      </c>
      <c r="B22" s="79">
        <f t="shared" si="2"/>
        <v>207.07360366922404</v>
      </c>
      <c r="C22" s="79">
        <f t="shared" si="3"/>
        <v>287.20212686421991</v>
      </c>
      <c r="D22" s="79">
        <f t="shared" si="4"/>
        <v>290.9285869083057</v>
      </c>
      <c r="E22" s="79">
        <f t="shared" si="5"/>
        <v>293.26855854544476</v>
      </c>
      <c r="F22" s="79">
        <f t="shared" si="6"/>
        <v>295.07598404878274</v>
      </c>
      <c r="G22" s="79">
        <f t="shared" si="7"/>
        <v>296.63340726232514</v>
      </c>
      <c r="H22" s="79">
        <f t="shared" si="8"/>
        <v>298.08969104526</v>
      </c>
      <c r="I22" s="79">
        <f t="shared" si="9"/>
        <v>299.5662829091105</v>
      </c>
      <c r="J22" s="79">
        <f t="shared" si="10"/>
        <v>301.2325191869113</v>
      </c>
      <c r="K22" s="79">
        <f t="shared" si="11"/>
        <v>303.53347313578007</v>
      </c>
      <c r="L22" s="79" t="e">
        <f t="shared" si="12"/>
        <v>#DIV/0!</v>
      </c>
      <c r="O22" t="s">
        <v>183</v>
      </c>
    </row>
    <row r="23" spans="1:18" x14ac:dyDescent="0.35">
      <c r="A23">
        <v>0.4</v>
      </c>
      <c r="B23" s="79">
        <f t="shared" si="2"/>
        <v>206.36085062161553</v>
      </c>
      <c r="C23" s="79">
        <f t="shared" si="3"/>
        <v>286.48937381661142</v>
      </c>
      <c r="D23" s="79">
        <f t="shared" si="4"/>
        <v>290.21583386069722</v>
      </c>
      <c r="E23" s="79">
        <f t="shared" si="5"/>
        <v>292.55580549783622</v>
      </c>
      <c r="F23" s="79">
        <f t="shared" si="6"/>
        <v>294.36323100117426</v>
      </c>
      <c r="G23" s="79">
        <f t="shared" si="7"/>
        <v>295.92065421471665</v>
      </c>
      <c r="H23" s="79">
        <f t="shared" si="8"/>
        <v>297.37693799765151</v>
      </c>
      <c r="I23" s="79">
        <f t="shared" si="9"/>
        <v>298.85352986150195</v>
      </c>
      <c r="J23" s="79">
        <f t="shared" si="10"/>
        <v>300.51976613930276</v>
      </c>
      <c r="K23" s="79">
        <f t="shared" si="11"/>
        <v>302.82072008817158</v>
      </c>
      <c r="L23" s="79" t="e">
        <f t="shared" si="12"/>
        <v>#DIV/0!</v>
      </c>
    </row>
    <row r="24" spans="1:18" x14ac:dyDescent="0.35">
      <c r="A24">
        <v>0.5</v>
      </c>
      <c r="B24" s="79">
        <f t="shared" si="2"/>
        <v>205.80799640689889</v>
      </c>
      <c r="C24" s="79">
        <f t="shared" si="3"/>
        <v>285.93651960189476</v>
      </c>
      <c r="D24" s="79">
        <f t="shared" si="4"/>
        <v>289.66297964598056</v>
      </c>
      <c r="E24" s="79">
        <f t="shared" si="5"/>
        <v>292.00295128311961</v>
      </c>
      <c r="F24" s="79">
        <f t="shared" si="6"/>
        <v>293.8103767864576</v>
      </c>
      <c r="G24" s="79">
        <f t="shared" si="7"/>
        <v>295.36779999999999</v>
      </c>
      <c r="H24" s="79">
        <f t="shared" si="8"/>
        <v>296.82408378293485</v>
      </c>
      <c r="I24" s="79">
        <f t="shared" si="9"/>
        <v>298.30067564678535</v>
      </c>
      <c r="J24" s="79">
        <f t="shared" si="10"/>
        <v>299.96691192458616</v>
      </c>
      <c r="K24" s="79">
        <f t="shared" si="11"/>
        <v>302.26786587345492</v>
      </c>
      <c r="L24" s="79" t="e">
        <f t="shared" si="12"/>
        <v>#DIV/0!</v>
      </c>
    </row>
    <row r="25" spans="1:18" x14ac:dyDescent="0.35">
      <c r="A25">
        <v>0.6</v>
      </c>
      <c r="B25" s="79">
        <f t="shared" si="2"/>
        <v>205.35628162278977</v>
      </c>
      <c r="C25" s="79">
        <f t="shared" si="3"/>
        <v>285.48480481778563</v>
      </c>
      <c r="D25" s="79">
        <f t="shared" si="4"/>
        <v>289.21126486187143</v>
      </c>
      <c r="E25" s="79">
        <f t="shared" si="5"/>
        <v>291.55123649901049</v>
      </c>
      <c r="F25" s="79">
        <f t="shared" si="6"/>
        <v>293.35866200234847</v>
      </c>
      <c r="G25" s="79">
        <f t="shared" si="7"/>
        <v>294.91608521589086</v>
      </c>
      <c r="H25" s="79">
        <f t="shared" si="8"/>
        <v>296.37236899882578</v>
      </c>
      <c r="I25" s="79">
        <f t="shared" si="9"/>
        <v>297.84896086267622</v>
      </c>
      <c r="J25" s="79">
        <f t="shared" si="10"/>
        <v>299.51519714047703</v>
      </c>
      <c r="K25" s="79">
        <f t="shared" si="11"/>
        <v>301.81615108934579</v>
      </c>
      <c r="L25" s="79" t="e">
        <f t="shared" si="12"/>
        <v>#DIV/0!</v>
      </c>
    </row>
    <row r="26" spans="1:18" x14ac:dyDescent="0.35">
      <c r="A26">
        <v>0.7</v>
      </c>
      <c r="B26">
        <f t="shared" si="2"/>
        <v>204.97436221466879</v>
      </c>
      <c r="C26">
        <f t="shared" si="3"/>
        <v>285.10288540966468</v>
      </c>
      <c r="D26">
        <f t="shared" si="4"/>
        <v>288.82934545375048</v>
      </c>
      <c r="E26">
        <f t="shared" si="5"/>
        <v>291.16931709088948</v>
      </c>
      <c r="F26">
        <f t="shared" si="6"/>
        <v>292.97674259422746</v>
      </c>
      <c r="G26">
        <f t="shared" si="7"/>
        <v>294.53416580776991</v>
      </c>
      <c r="H26">
        <f t="shared" si="8"/>
        <v>295.99044959070477</v>
      </c>
      <c r="I26">
        <f t="shared" si="9"/>
        <v>297.46704145455521</v>
      </c>
      <c r="J26">
        <f t="shared" si="10"/>
        <v>299.13327773235602</v>
      </c>
      <c r="K26">
        <f t="shared" si="11"/>
        <v>301.43423168122484</v>
      </c>
      <c r="L26" t="e">
        <f t="shared" si="12"/>
        <v>#DIV/0!</v>
      </c>
    </row>
    <row r="27" spans="1:18" x14ac:dyDescent="0.35">
      <c r="A27">
        <v>0.8</v>
      </c>
      <c r="B27">
        <f t="shared" si="2"/>
        <v>204.64352857518128</v>
      </c>
      <c r="C27">
        <f t="shared" si="3"/>
        <v>284.77205177017714</v>
      </c>
      <c r="D27">
        <f t="shared" si="4"/>
        <v>288.49851181426294</v>
      </c>
      <c r="E27">
        <f t="shared" si="5"/>
        <v>290.838483451402</v>
      </c>
      <c r="F27">
        <f t="shared" si="6"/>
        <v>292.64590895473998</v>
      </c>
      <c r="G27">
        <f t="shared" si="7"/>
        <v>294.20333216828237</v>
      </c>
      <c r="H27">
        <f t="shared" si="8"/>
        <v>295.65961595121723</v>
      </c>
      <c r="I27">
        <f t="shared" si="9"/>
        <v>297.13620781506773</v>
      </c>
      <c r="J27">
        <f t="shared" si="10"/>
        <v>298.80244409286854</v>
      </c>
      <c r="K27">
        <f t="shared" si="11"/>
        <v>301.10339804173731</v>
      </c>
      <c r="L27" t="e">
        <f t="shared" si="12"/>
        <v>#DIV/0!</v>
      </c>
    </row>
    <row r="28" spans="1:18" x14ac:dyDescent="0.35">
      <c r="A28">
        <v>0.9</v>
      </c>
      <c r="B28">
        <f t="shared" si="2"/>
        <v>204.351712623964</v>
      </c>
      <c r="C28">
        <f t="shared" si="3"/>
        <v>284.4802358189599</v>
      </c>
      <c r="D28">
        <f t="shared" si="4"/>
        <v>288.2066958630457</v>
      </c>
      <c r="E28">
        <f t="shared" si="5"/>
        <v>290.5466675001847</v>
      </c>
      <c r="F28">
        <f t="shared" si="6"/>
        <v>292.35409300352268</v>
      </c>
      <c r="G28">
        <f t="shared" si="7"/>
        <v>293.91151621706513</v>
      </c>
      <c r="H28">
        <f t="shared" si="8"/>
        <v>295.36779999999999</v>
      </c>
      <c r="I28">
        <f t="shared" si="9"/>
        <v>296.84439186385043</v>
      </c>
      <c r="J28">
        <f t="shared" si="10"/>
        <v>298.51062814165124</v>
      </c>
      <c r="K28">
        <f t="shared" si="11"/>
        <v>300.81158209052006</v>
      </c>
      <c r="L28" t="e">
        <f t="shared" si="12"/>
        <v>#DIV/0!</v>
      </c>
    </row>
    <row r="29" spans="1:18" x14ac:dyDescent="0.35">
      <c r="A29">
        <v>1</v>
      </c>
      <c r="B29">
        <f t="shared" si="2"/>
        <v>204.09067436046462</v>
      </c>
      <c r="C29">
        <f t="shared" si="3"/>
        <v>284.21919755546048</v>
      </c>
      <c r="D29">
        <f t="shared" si="4"/>
        <v>287.94565759954628</v>
      </c>
      <c r="E29">
        <f t="shared" si="5"/>
        <v>290.28562923668534</v>
      </c>
      <c r="F29">
        <f t="shared" si="6"/>
        <v>292.09305474002332</v>
      </c>
      <c r="G29">
        <f t="shared" si="7"/>
        <v>293.65047795356571</v>
      </c>
      <c r="H29">
        <f t="shared" si="8"/>
        <v>295.10676173650057</v>
      </c>
      <c r="I29">
        <f t="shared" si="9"/>
        <v>296.58335360035107</v>
      </c>
      <c r="J29">
        <f t="shared" si="10"/>
        <v>298.24958987815188</v>
      </c>
      <c r="K29">
        <f t="shared" si="11"/>
        <v>300.55054382702065</v>
      </c>
      <c r="L29" t="e">
        <f t="shared" si="12"/>
        <v>#DIV/0!</v>
      </c>
    </row>
    <row r="32" spans="1:18" x14ac:dyDescent="0.35">
      <c r="A32" s="2"/>
      <c r="B32" s="93" t="s">
        <v>178</v>
      </c>
      <c r="C32" s="93"/>
      <c r="D32" s="93"/>
      <c r="E32" s="93"/>
      <c r="F32" s="93"/>
      <c r="G32" s="93"/>
      <c r="H32" s="93"/>
      <c r="I32" s="2"/>
      <c r="J32" s="2"/>
      <c r="K32" s="2"/>
      <c r="L32" s="2"/>
    </row>
    <row r="33" spans="1:12" x14ac:dyDescent="0.35">
      <c r="A33" s="2" t="s">
        <v>182</v>
      </c>
      <c r="B33" s="93" t="s">
        <v>180</v>
      </c>
      <c r="C33" s="93"/>
      <c r="D33" s="93"/>
      <c r="E33" s="93"/>
      <c r="F33" s="93"/>
      <c r="G33" s="93"/>
      <c r="H33" s="93"/>
      <c r="I33" s="2"/>
      <c r="J33" s="2"/>
      <c r="K33" s="2"/>
      <c r="L33" s="2"/>
    </row>
    <row r="34" spans="1:12" x14ac:dyDescent="0.35">
      <c r="A34" s="2" t="s">
        <v>179</v>
      </c>
      <c r="B34" s="2">
        <v>9.9999999999999995E-7</v>
      </c>
      <c r="C34" s="2">
        <v>0.1</v>
      </c>
      <c r="D34" s="2">
        <v>0.2</v>
      </c>
      <c r="E34" s="2">
        <v>0.3</v>
      </c>
      <c r="F34" s="2">
        <v>0.4</v>
      </c>
      <c r="G34" s="2">
        <v>0.5</v>
      </c>
      <c r="H34" s="2">
        <v>0.6</v>
      </c>
      <c r="I34" s="2">
        <v>0.7</v>
      </c>
      <c r="J34" s="2">
        <v>0.8</v>
      </c>
      <c r="K34" s="2">
        <v>0.9</v>
      </c>
      <c r="L34" s="2">
        <v>1</v>
      </c>
    </row>
    <row r="35" spans="1:12" x14ac:dyDescent="0.35">
      <c r="A35" s="2">
        <v>0</v>
      </c>
      <c r="B35" s="79" t="e">
        <f>295.3678+0.008314*298*LN(($B$34*(2*$B$34)^(2))/($A35*(1-2*$B$34)^(2)))</f>
        <v>#DIV/0!</v>
      </c>
      <c r="C35" s="79" t="e">
        <f>295.3678+0.008314*298*LN(($C$34*(2*$C$34)^(2))/($A35*(1-2*$C$34)^(2)))</f>
        <v>#DIV/0!</v>
      </c>
      <c r="D35" s="79" t="e">
        <f>295.3678+0.008314*298*LN(($D$34*(2*$D$34)^(2))/($A35*(1-2*$D$34)^(2)))</f>
        <v>#DIV/0!</v>
      </c>
      <c r="E35" s="79" t="e">
        <f>295.3678+0.008314*298*LN(($E$34*(2*$E$34)^(2))/($A35*(1-2*$E$34)^(2)))</f>
        <v>#DIV/0!</v>
      </c>
      <c r="F35" s="79" t="e">
        <f>295.3678+0.008314*298*LN(($F$34*(2*$F$34)^(2))/($A35*(1-2*$F$34)^(2)))</f>
        <v>#DIV/0!</v>
      </c>
      <c r="G35" s="79" t="e">
        <f>295.3678+0.008314*298*LN(($G$34*(2*$G$34)^(2))/($A35*(1-2*$G$34)^(2)))</f>
        <v>#DIV/0!</v>
      </c>
      <c r="H35" s="79" t="e">
        <f>295.3678+0.008314*298*LN(($H$34*(2*$H$34)^(2))/($A35*(1-2*$H$34)^(2)))</f>
        <v>#DIV/0!</v>
      </c>
      <c r="I35" s="79" t="e">
        <f>295.3678+0.008314*298*LN(($I$34*(2*$I$34)^(2))/($A35*(1-2*$I$34)^(2)))</f>
        <v>#DIV/0!</v>
      </c>
      <c r="J35" s="79" t="e">
        <f>295.3678+0.008314*298*LN(($J$34*(2*$J$34)^(2))/($A35*(1-2*$J$34)^(2)))</f>
        <v>#DIV/0!</v>
      </c>
      <c r="K35" s="79" t="e">
        <f>295.3678+0.008314*298*LN(($K$34*(2*$K$34)^(2))/($A35*(1-2*$K$34)^(2)))</f>
        <v>#DIV/0!</v>
      </c>
      <c r="L35" s="79" t="e">
        <f>295.3678+0.008314*298*LN(($L$34*(2*$L$34)^(2))/($A35*(1-2*$L$34)^(2)))</f>
        <v>#DIV/0!</v>
      </c>
    </row>
    <row r="36" spans="1:12" x14ac:dyDescent="0.35">
      <c r="A36" s="2">
        <v>0.1</v>
      </c>
      <c r="B36" s="79">
        <f t="shared" ref="B36:B45" si="13">295.3678+0.008314*298*LN(($B$34*(2*$B$34)^(2))/($A36*(1-2*$B$34)^(2)))</f>
        <v>201.8205079848359</v>
      </c>
      <c r="C36" s="79">
        <f t="shared" ref="C36:C45" si="14">295.3678+0.008314*298*LN(($C$34*(2*$C$34)^(2))/($A36*(1-2*$C$34)^(2)))</f>
        <v>288.49851181426294</v>
      </c>
      <c r="D36" s="79">
        <f t="shared" ref="D36:D45" si="15">295.3678+0.008314*298*LN(($D$34*(2*$D$34)^(2))/($A36*(1-2*$D$34)^(2)))</f>
        <v>295.07598404878274</v>
      </c>
      <c r="E36" s="79">
        <f t="shared" ref="E36:E45" si="16">295.3678+0.008314*298*LN(($E$34*(2*$E$34)^(2))/($A36*(1-2*$E$34)^(2)))</f>
        <v>300.09882904291152</v>
      </c>
      <c r="F36" s="79">
        <f t="shared" ref="F36:F45" si="17">295.3678+0.008314*298*LN(($F$34*(2*$F$34)^(2))/($A36*(1-2*$F$34)^(2)))</f>
        <v>305.67173227860559</v>
      </c>
      <c r="G36" s="79" t="e">
        <f t="shared" ref="G36:G45" si="18">295.3678+0.008314*298*LN(($G$34*(2*$G$34)^(2))/($A36*(1-2*$G$34)^(2)))</f>
        <v>#DIV/0!</v>
      </c>
      <c r="H36" s="79">
        <f t="shared" ref="H36:H45" si="19">295.3678+0.008314*298*LN(($H$34*(2*$H$34)^(2))/($A36*(1-2*$H$34)^(2)))</f>
        <v>308.68543927508284</v>
      </c>
      <c r="I36" s="79">
        <f t="shared" ref="I36:I45" si="20">295.3678+0.008314*298*LN(($I$34*(2*$I$34)^(2))/($A36*(1-2*$I$34)^(2)))</f>
        <v>306.39655340657725</v>
      </c>
      <c r="J36" s="79">
        <f t="shared" ref="J36:J45" si="21">295.3678+0.008314*298*LN(($J$34*(2*$J$34)^(2))/($A36*(1-2*$J$34)^(2)))</f>
        <v>305.37991632738834</v>
      </c>
      <c r="K36" s="79">
        <f t="shared" ref="K36:K45" si="22">295.3678+0.008314*298*LN(($K$34*(2*$K$34)^(2))/($A36*(1-2*$K$34)^(2)))</f>
        <v>304.8298580858231</v>
      </c>
      <c r="L36" s="79">
        <f t="shared" ref="L36:L45" si="23">295.3678+0.008314*298*LN(($L$34*(2*$L$34)^(2))/($A36*(1-2*$L$34)^(2)))</f>
        <v>304.50726444688797</v>
      </c>
    </row>
    <row r="37" spans="1:12" x14ac:dyDescent="0.35">
      <c r="A37" s="2">
        <v>0.2</v>
      </c>
      <c r="B37" s="79">
        <f t="shared" si="13"/>
        <v>200.10318593840162</v>
      </c>
      <c r="C37" s="79">
        <f t="shared" si="14"/>
        <v>286.78118976782866</v>
      </c>
      <c r="D37" s="79">
        <f t="shared" si="15"/>
        <v>293.35866200234847</v>
      </c>
      <c r="E37" s="79">
        <f t="shared" si="16"/>
        <v>298.3815069964773</v>
      </c>
      <c r="F37" s="79">
        <f t="shared" si="17"/>
        <v>303.95441023217131</v>
      </c>
      <c r="G37" s="79" t="e">
        <f t="shared" si="18"/>
        <v>#DIV/0!</v>
      </c>
      <c r="H37" s="79">
        <f t="shared" si="19"/>
        <v>306.96811722864862</v>
      </c>
      <c r="I37" s="79">
        <f t="shared" si="20"/>
        <v>304.67923136014304</v>
      </c>
      <c r="J37" s="79">
        <f t="shared" si="21"/>
        <v>303.66259428095407</v>
      </c>
      <c r="K37" s="79">
        <f t="shared" si="22"/>
        <v>303.11253603938883</v>
      </c>
      <c r="L37" s="79">
        <f t="shared" si="23"/>
        <v>302.7899424004537</v>
      </c>
    </row>
    <row r="38" spans="1:12" x14ac:dyDescent="0.35">
      <c r="A38" s="2">
        <v>0.3</v>
      </c>
      <c r="B38" s="79">
        <f t="shared" si="13"/>
        <v>199.09861693957586</v>
      </c>
      <c r="C38" s="79">
        <f t="shared" si="14"/>
        <v>285.77662076900288</v>
      </c>
      <c r="D38" s="79">
        <f t="shared" si="15"/>
        <v>292.35409300352268</v>
      </c>
      <c r="E38" s="79">
        <f t="shared" si="16"/>
        <v>297.37693799765151</v>
      </c>
      <c r="F38" s="79">
        <f t="shared" si="17"/>
        <v>302.94984123334558</v>
      </c>
      <c r="G38" s="79" t="e">
        <f t="shared" si="18"/>
        <v>#DIV/0!</v>
      </c>
      <c r="H38" s="79">
        <f t="shared" si="19"/>
        <v>305.96354822982283</v>
      </c>
      <c r="I38" s="79">
        <f t="shared" si="20"/>
        <v>303.67466236131725</v>
      </c>
      <c r="J38" s="79">
        <f t="shared" si="21"/>
        <v>302.65802528212828</v>
      </c>
      <c r="K38" s="79">
        <f t="shared" si="22"/>
        <v>302.10796704056304</v>
      </c>
      <c r="L38" s="79">
        <f t="shared" si="23"/>
        <v>301.78537340162791</v>
      </c>
    </row>
    <row r="39" spans="1:12" x14ac:dyDescent="0.35">
      <c r="A39" s="2">
        <v>0.4</v>
      </c>
      <c r="B39" s="79">
        <f t="shared" si="13"/>
        <v>198.38586389196735</v>
      </c>
      <c r="C39" s="79">
        <f t="shared" si="14"/>
        <v>285.06386772139439</v>
      </c>
      <c r="D39" s="79">
        <f t="shared" si="15"/>
        <v>291.64133995591419</v>
      </c>
      <c r="E39" s="79">
        <f t="shared" si="16"/>
        <v>296.66418495004302</v>
      </c>
      <c r="F39" s="79">
        <f t="shared" si="17"/>
        <v>302.23708818573704</v>
      </c>
      <c r="G39" s="79" t="e">
        <f t="shared" si="18"/>
        <v>#DIV/0!</v>
      </c>
      <c r="H39" s="79">
        <f t="shared" si="19"/>
        <v>305.25079518221435</v>
      </c>
      <c r="I39" s="79">
        <f t="shared" si="20"/>
        <v>302.96190931370876</v>
      </c>
      <c r="J39" s="79">
        <f t="shared" si="21"/>
        <v>301.94527223451979</v>
      </c>
      <c r="K39" s="79">
        <f t="shared" si="22"/>
        <v>301.39521399295455</v>
      </c>
      <c r="L39" s="79">
        <f t="shared" si="23"/>
        <v>301.07262035401942</v>
      </c>
    </row>
    <row r="40" spans="1:12" x14ac:dyDescent="0.35">
      <c r="A40" s="2">
        <v>0.5</v>
      </c>
      <c r="B40" s="79">
        <f t="shared" si="13"/>
        <v>197.83300967725069</v>
      </c>
      <c r="C40" s="79">
        <f t="shared" si="14"/>
        <v>284.51101350667773</v>
      </c>
      <c r="D40" s="79">
        <f t="shared" si="15"/>
        <v>291.08848574119753</v>
      </c>
      <c r="E40" s="79">
        <f t="shared" si="16"/>
        <v>296.11133073532636</v>
      </c>
      <c r="F40" s="79">
        <f t="shared" si="17"/>
        <v>301.68423397102038</v>
      </c>
      <c r="G40" s="79" t="e">
        <f t="shared" si="18"/>
        <v>#DIV/0!</v>
      </c>
      <c r="H40" s="79">
        <f t="shared" si="19"/>
        <v>304.69794096749769</v>
      </c>
      <c r="I40" s="79">
        <f t="shared" si="20"/>
        <v>302.4090550989921</v>
      </c>
      <c r="J40" s="79">
        <f t="shared" si="21"/>
        <v>301.39241801980313</v>
      </c>
      <c r="K40" s="79">
        <f t="shared" si="22"/>
        <v>300.84235977823789</v>
      </c>
      <c r="L40" s="79">
        <f t="shared" si="23"/>
        <v>300.51976613930276</v>
      </c>
    </row>
    <row r="41" spans="1:12" x14ac:dyDescent="0.35">
      <c r="A41" s="2">
        <v>0.6</v>
      </c>
      <c r="B41" s="79">
        <f t="shared" si="13"/>
        <v>197.38129489314161</v>
      </c>
      <c r="C41" s="79">
        <f t="shared" si="14"/>
        <v>284.05929872256866</v>
      </c>
      <c r="D41" s="79">
        <f t="shared" si="15"/>
        <v>290.63677095708846</v>
      </c>
      <c r="E41" s="79">
        <f t="shared" si="16"/>
        <v>295.65961595121723</v>
      </c>
      <c r="F41" s="79">
        <f t="shared" si="17"/>
        <v>301.2325191869113</v>
      </c>
      <c r="G41" s="79" t="e">
        <f t="shared" si="18"/>
        <v>#DIV/0!</v>
      </c>
      <c r="H41" s="79">
        <f t="shared" si="19"/>
        <v>304.24622618338856</v>
      </c>
      <c r="I41" s="79">
        <f t="shared" si="20"/>
        <v>301.95734031488297</v>
      </c>
      <c r="J41" s="79">
        <f t="shared" si="21"/>
        <v>300.940703235694</v>
      </c>
      <c r="K41" s="79">
        <f t="shared" si="22"/>
        <v>300.39064499412882</v>
      </c>
      <c r="L41" s="79">
        <f t="shared" si="23"/>
        <v>300.06805135519369</v>
      </c>
    </row>
    <row r="42" spans="1:12" x14ac:dyDescent="0.35">
      <c r="A42" s="2">
        <v>0.7</v>
      </c>
      <c r="B42" s="79">
        <f t="shared" si="13"/>
        <v>196.99937548502061</v>
      </c>
      <c r="C42" s="79">
        <f t="shared" si="14"/>
        <v>283.67737931444765</v>
      </c>
      <c r="D42" s="79">
        <f t="shared" si="15"/>
        <v>290.25485154896745</v>
      </c>
      <c r="E42" s="79">
        <f t="shared" si="16"/>
        <v>295.27769654309628</v>
      </c>
      <c r="F42" s="79">
        <f t="shared" si="17"/>
        <v>300.8505997787903</v>
      </c>
      <c r="G42" s="79" t="e">
        <f t="shared" si="18"/>
        <v>#DIV/0!</v>
      </c>
      <c r="H42" s="79">
        <f t="shared" si="19"/>
        <v>303.86430677526761</v>
      </c>
      <c r="I42" s="79">
        <f t="shared" si="20"/>
        <v>301.57542090676202</v>
      </c>
      <c r="J42" s="79">
        <f t="shared" si="21"/>
        <v>300.55878382757305</v>
      </c>
      <c r="K42" s="79">
        <f t="shared" si="22"/>
        <v>300.00872558600781</v>
      </c>
      <c r="L42" s="79">
        <f t="shared" si="23"/>
        <v>299.68613194707268</v>
      </c>
    </row>
    <row r="43" spans="1:12" x14ac:dyDescent="0.35">
      <c r="A43" s="2">
        <v>0.8</v>
      </c>
      <c r="B43" s="79">
        <f t="shared" si="13"/>
        <v>196.6685418455331</v>
      </c>
      <c r="C43" s="79">
        <f t="shared" si="14"/>
        <v>283.34654567496011</v>
      </c>
      <c r="D43" s="79">
        <f t="shared" si="15"/>
        <v>289.92401790947991</v>
      </c>
      <c r="E43" s="79">
        <f t="shared" si="16"/>
        <v>294.94686290360875</v>
      </c>
      <c r="F43" s="79">
        <f t="shared" si="17"/>
        <v>300.51976613930276</v>
      </c>
      <c r="G43" s="79" t="e">
        <f t="shared" si="18"/>
        <v>#DIV/0!</v>
      </c>
      <c r="H43" s="79">
        <f t="shared" si="19"/>
        <v>303.53347313578007</v>
      </c>
      <c r="I43" s="79">
        <f t="shared" si="20"/>
        <v>301.24458726727448</v>
      </c>
      <c r="J43" s="79">
        <f t="shared" si="21"/>
        <v>300.22795018808552</v>
      </c>
      <c r="K43" s="79">
        <f t="shared" si="22"/>
        <v>299.67789194652028</v>
      </c>
      <c r="L43" s="79">
        <f t="shared" si="23"/>
        <v>299.35529830758514</v>
      </c>
    </row>
    <row r="44" spans="1:12" x14ac:dyDescent="0.35">
      <c r="A44" s="2">
        <v>0.9</v>
      </c>
      <c r="B44" s="79">
        <f t="shared" si="13"/>
        <v>196.37672589431583</v>
      </c>
      <c r="C44" s="79">
        <f t="shared" si="14"/>
        <v>283.05472972374287</v>
      </c>
      <c r="D44" s="79">
        <f t="shared" si="15"/>
        <v>289.63220195826267</v>
      </c>
      <c r="E44" s="79">
        <f t="shared" si="16"/>
        <v>294.6550469523915</v>
      </c>
      <c r="F44" s="79">
        <f t="shared" si="17"/>
        <v>300.22795018808552</v>
      </c>
      <c r="G44" s="79" t="e">
        <f t="shared" si="18"/>
        <v>#DIV/0!</v>
      </c>
      <c r="H44" s="79">
        <f t="shared" si="19"/>
        <v>303.24165718456283</v>
      </c>
      <c r="I44" s="79">
        <f t="shared" si="20"/>
        <v>300.95277131605724</v>
      </c>
      <c r="J44" s="79">
        <f t="shared" si="21"/>
        <v>299.93613423686827</v>
      </c>
      <c r="K44" s="79">
        <f t="shared" si="22"/>
        <v>299.38607599530303</v>
      </c>
      <c r="L44" s="79">
        <f t="shared" si="23"/>
        <v>299.0634823563679</v>
      </c>
    </row>
    <row r="45" spans="1:12" x14ac:dyDescent="0.35">
      <c r="A45" s="2">
        <v>1</v>
      </c>
      <c r="B45" s="79">
        <f t="shared" si="13"/>
        <v>196.11568763081647</v>
      </c>
      <c r="C45" s="79">
        <f t="shared" si="14"/>
        <v>282.79369146024351</v>
      </c>
      <c r="D45" s="79">
        <f t="shared" si="15"/>
        <v>289.37116369476331</v>
      </c>
      <c r="E45" s="79">
        <f t="shared" si="16"/>
        <v>294.39400868889209</v>
      </c>
      <c r="F45" s="79">
        <f t="shared" si="17"/>
        <v>299.96691192458616</v>
      </c>
      <c r="G45" s="79" t="e">
        <f t="shared" si="18"/>
        <v>#DIV/0!</v>
      </c>
      <c r="H45" s="79">
        <f t="shared" si="19"/>
        <v>302.98061892106341</v>
      </c>
      <c r="I45" s="79">
        <f t="shared" si="20"/>
        <v>300.69173305255782</v>
      </c>
      <c r="J45" s="79">
        <f t="shared" si="21"/>
        <v>299.67509597336885</v>
      </c>
      <c r="K45" s="79">
        <f t="shared" si="22"/>
        <v>299.12503773180362</v>
      </c>
      <c r="L45" s="79">
        <f t="shared" si="23"/>
        <v>298.80244409286854</v>
      </c>
    </row>
    <row r="47" spans="1:12" s="2" customFormat="1" x14ac:dyDescent="0.35"/>
    <row r="48" spans="1:12" x14ac:dyDescent="0.35">
      <c r="A48" s="2"/>
      <c r="B48" s="93" t="s">
        <v>178</v>
      </c>
      <c r="C48" s="93"/>
      <c r="D48" s="93"/>
      <c r="E48" s="93"/>
      <c r="F48" s="93"/>
      <c r="G48" s="93"/>
      <c r="H48" s="93"/>
      <c r="I48" s="2"/>
      <c r="J48" s="2"/>
      <c r="K48" s="2"/>
      <c r="L48" s="2"/>
    </row>
    <row r="49" spans="1:18" x14ac:dyDescent="0.35">
      <c r="A49" s="2" t="s">
        <v>199</v>
      </c>
      <c r="B49" s="93" t="s">
        <v>180</v>
      </c>
      <c r="C49" s="93"/>
      <c r="D49" s="93"/>
      <c r="E49" s="93"/>
      <c r="F49" s="93"/>
      <c r="G49" s="93"/>
      <c r="H49" s="93"/>
      <c r="I49" s="2"/>
      <c r="J49" s="2"/>
      <c r="K49" s="2"/>
      <c r="L49" s="2"/>
    </row>
    <row r="50" spans="1:18" x14ac:dyDescent="0.35">
      <c r="A50" s="2" t="s">
        <v>179</v>
      </c>
      <c r="B50" s="2">
        <v>9.9999999999999995E-7</v>
      </c>
      <c r="C50" s="2">
        <v>0.1</v>
      </c>
      <c r="D50" s="2">
        <v>0.2</v>
      </c>
      <c r="E50" s="2">
        <v>0.3</v>
      </c>
      <c r="F50" s="2">
        <v>0.4</v>
      </c>
      <c r="G50" s="2">
        <v>0.5</v>
      </c>
      <c r="H50" s="2">
        <v>0.6</v>
      </c>
      <c r="I50" s="2">
        <v>0.7</v>
      </c>
      <c r="J50" s="2">
        <v>0.8</v>
      </c>
      <c r="K50" s="2">
        <v>0.9</v>
      </c>
      <c r="L50" s="2">
        <v>1</v>
      </c>
    </row>
    <row r="51" spans="1:18" x14ac:dyDescent="0.35">
      <c r="A51" s="2">
        <v>0</v>
      </c>
      <c r="B51" s="79" t="e">
        <f>295.3678+0.008314*298*LN(($B$34*(3*$B$34)^(3))/($A51*(1-3*$B$34)^(3)))</f>
        <v>#DIV/0!</v>
      </c>
      <c r="C51" s="79" t="e">
        <f t="shared" ref="C51:L51" si="24">295.3678+0.008314*298*LN(($B$34*(3*$B$34)^(3))/($A51*(1-3*$B$34)^(3)))</f>
        <v>#DIV/0!</v>
      </c>
      <c r="D51" s="79" t="e">
        <f t="shared" si="24"/>
        <v>#DIV/0!</v>
      </c>
      <c r="E51" s="79" t="e">
        <f t="shared" si="24"/>
        <v>#DIV/0!</v>
      </c>
      <c r="F51" s="79" t="e">
        <f t="shared" si="24"/>
        <v>#DIV/0!</v>
      </c>
      <c r="G51" s="79" t="e">
        <f t="shared" si="24"/>
        <v>#DIV/0!</v>
      </c>
      <c r="H51" s="79" t="e">
        <f t="shared" si="24"/>
        <v>#DIV/0!</v>
      </c>
      <c r="I51" s="79" t="e">
        <f t="shared" si="24"/>
        <v>#DIV/0!</v>
      </c>
      <c r="J51" s="79" t="e">
        <f t="shared" si="24"/>
        <v>#DIV/0!</v>
      </c>
      <c r="K51" s="79" t="e">
        <f t="shared" si="24"/>
        <v>#DIV/0!</v>
      </c>
      <c r="L51" s="79" t="e">
        <f t="shared" si="24"/>
        <v>#DIV/0!</v>
      </c>
      <c r="N51" t="s">
        <v>189</v>
      </c>
      <c r="Q51" t="s">
        <v>190</v>
      </c>
    </row>
    <row r="52" spans="1:18" x14ac:dyDescent="0.35">
      <c r="A52" s="2">
        <v>0.1</v>
      </c>
      <c r="B52" s="79">
        <f>295.3678+0.008314*298*LN((B$34*(3*B$34)^(3))/($A52*(1-3*B$34)^(3)))</f>
        <v>172.32262729151432</v>
      </c>
      <c r="C52" s="79">
        <f t="shared" ref="C52:L52" si="25">295.3678+0.008314*298*LN((C$34*(3*C$34)^(3))/($A52*(1-3*C$34)^(3)))</f>
        <v>289.07007563633425</v>
      </c>
      <c r="D52" s="79">
        <f t="shared" si="25"/>
        <v>300.09882904291152</v>
      </c>
      <c r="E52" s="79">
        <f t="shared" si="25"/>
        <v>314.42103731682016</v>
      </c>
      <c r="F52" s="79" t="e">
        <f>295.3678+0.008314*298*LN((F$34*(3*F$34)^(3))/($A52*(1-3*F$34)^(3)))</f>
        <v>#NUM!</v>
      </c>
      <c r="G52" s="79" t="e">
        <f t="shared" si="25"/>
        <v>#NUM!</v>
      </c>
      <c r="H52" s="79" t="e">
        <f t="shared" si="25"/>
        <v>#NUM!</v>
      </c>
      <c r="I52" s="79" t="e">
        <f t="shared" si="25"/>
        <v>#NUM!</v>
      </c>
      <c r="J52" s="79" t="e">
        <f t="shared" si="25"/>
        <v>#NUM!</v>
      </c>
      <c r="K52" s="79" t="e">
        <f t="shared" si="25"/>
        <v>#NUM!</v>
      </c>
      <c r="L52" s="79" t="e">
        <f t="shared" si="25"/>
        <v>#NUM!</v>
      </c>
      <c r="N52">
        <f>((C$34*(3*C$34)^(3))/($A52*(1-3*C$34)^(3)))</f>
        <v>7.8717201166180806E-2</v>
      </c>
      <c r="Q52">
        <f>((F$34*(3*F$34)^(3))/($A52*(1-3*F$34)^(3)))</f>
        <v>-863.99999999999807</v>
      </c>
      <c r="R52" t="s">
        <v>191</v>
      </c>
    </row>
    <row r="53" spans="1:18" x14ac:dyDescent="0.35">
      <c r="A53" s="2">
        <v>0.2</v>
      </c>
      <c r="B53" s="79">
        <f t="shared" ref="B53:L61" si="26">295.3678+0.008314*298*LN((B$34*(3*B$34)^(3))/($A53*(1-3*B$34)^(3)))</f>
        <v>170.60530524508005</v>
      </c>
      <c r="C53" s="79">
        <f t="shared" si="26"/>
        <v>287.35275358989998</v>
      </c>
      <c r="D53" s="79">
        <f t="shared" si="26"/>
        <v>298.3815069964773</v>
      </c>
      <c r="E53" s="79">
        <f t="shared" si="26"/>
        <v>312.70371527038589</v>
      </c>
      <c r="F53" s="79" t="e">
        <f t="shared" si="26"/>
        <v>#NUM!</v>
      </c>
      <c r="G53" s="79" t="e">
        <f t="shared" si="26"/>
        <v>#NUM!</v>
      </c>
      <c r="H53" s="79" t="e">
        <f t="shared" si="26"/>
        <v>#NUM!</v>
      </c>
      <c r="I53" s="79" t="e">
        <f t="shared" si="26"/>
        <v>#NUM!</v>
      </c>
      <c r="J53" s="79" t="e">
        <f t="shared" si="26"/>
        <v>#NUM!</v>
      </c>
      <c r="K53" s="79" t="e">
        <f t="shared" si="26"/>
        <v>#NUM!</v>
      </c>
      <c r="L53" s="79" t="e">
        <f t="shared" si="26"/>
        <v>#NUM!</v>
      </c>
      <c r="N53">
        <f>LN(N52)</f>
        <v>-2.5418935811616103</v>
      </c>
    </row>
    <row r="54" spans="1:18" x14ac:dyDescent="0.35">
      <c r="A54" s="2">
        <v>0.3</v>
      </c>
      <c r="B54" s="79">
        <f t="shared" si="26"/>
        <v>169.60073624625429</v>
      </c>
      <c r="C54" s="79">
        <f t="shared" si="26"/>
        <v>286.34818459107424</v>
      </c>
      <c r="D54" s="79">
        <f t="shared" si="26"/>
        <v>297.37693799765151</v>
      </c>
      <c r="E54" s="79">
        <f t="shared" si="26"/>
        <v>311.69914627156015</v>
      </c>
      <c r="F54" s="79" t="e">
        <f t="shared" si="26"/>
        <v>#NUM!</v>
      </c>
      <c r="G54" s="79" t="e">
        <f t="shared" si="26"/>
        <v>#NUM!</v>
      </c>
      <c r="H54" s="79" t="e">
        <f t="shared" si="26"/>
        <v>#NUM!</v>
      </c>
      <c r="I54" s="79" t="e">
        <f t="shared" si="26"/>
        <v>#NUM!</v>
      </c>
      <c r="J54" s="79" t="e">
        <f t="shared" si="26"/>
        <v>#NUM!</v>
      </c>
      <c r="K54" s="79" t="e">
        <f t="shared" si="26"/>
        <v>#NUM!</v>
      </c>
      <c r="L54" s="79" t="e">
        <f t="shared" si="26"/>
        <v>#NUM!</v>
      </c>
      <c r="N54">
        <f>0.008314*298*N53</f>
        <v>-6.2977243636657327</v>
      </c>
    </row>
    <row r="55" spans="1:18" x14ac:dyDescent="0.35">
      <c r="A55" s="2">
        <v>0.4</v>
      </c>
      <c r="B55" s="79">
        <f t="shared" si="26"/>
        <v>168.88798319864577</v>
      </c>
      <c r="C55" s="79">
        <f t="shared" si="26"/>
        <v>285.6354315434657</v>
      </c>
      <c r="D55" s="79">
        <f t="shared" si="26"/>
        <v>296.66418495004302</v>
      </c>
      <c r="E55" s="79">
        <f t="shared" si="26"/>
        <v>310.98639322395161</v>
      </c>
      <c r="F55" s="79" t="e">
        <f t="shared" si="26"/>
        <v>#NUM!</v>
      </c>
      <c r="G55" s="79" t="e">
        <f t="shared" si="26"/>
        <v>#NUM!</v>
      </c>
      <c r="H55" s="79" t="e">
        <f t="shared" si="26"/>
        <v>#NUM!</v>
      </c>
      <c r="I55" s="79" t="e">
        <f t="shared" si="26"/>
        <v>#NUM!</v>
      </c>
      <c r="J55" s="79" t="e">
        <f t="shared" si="26"/>
        <v>#NUM!</v>
      </c>
      <c r="K55" s="79" t="e">
        <f t="shared" si="26"/>
        <v>#NUM!</v>
      </c>
      <c r="L55" s="79" t="e">
        <f t="shared" si="26"/>
        <v>#NUM!</v>
      </c>
      <c r="N55">
        <f>N54+295.3678</f>
        <v>289.07007563633425</v>
      </c>
    </row>
    <row r="56" spans="1:18" x14ac:dyDescent="0.35">
      <c r="A56" s="2">
        <v>0.5</v>
      </c>
      <c r="B56" s="79">
        <f t="shared" si="26"/>
        <v>168.33512898392914</v>
      </c>
      <c r="C56" s="79">
        <f t="shared" si="26"/>
        <v>285.0825773287491</v>
      </c>
      <c r="D56" s="79">
        <f t="shared" si="26"/>
        <v>296.11133073532636</v>
      </c>
      <c r="E56" s="79">
        <f t="shared" si="26"/>
        <v>310.43353900923501</v>
      </c>
      <c r="F56" s="79" t="e">
        <f t="shared" si="26"/>
        <v>#NUM!</v>
      </c>
      <c r="G56" s="79" t="e">
        <f t="shared" si="26"/>
        <v>#NUM!</v>
      </c>
      <c r="H56" s="79" t="e">
        <f t="shared" si="26"/>
        <v>#NUM!</v>
      </c>
      <c r="I56" s="79" t="e">
        <f t="shared" si="26"/>
        <v>#NUM!</v>
      </c>
      <c r="J56" s="79" t="e">
        <f t="shared" si="26"/>
        <v>#NUM!</v>
      </c>
      <c r="K56" s="79" t="e">
        <f t="shared" si="26"/>
        <v>#NUM!</v>
      </c>
      <c r="L56" s="79" t="e">
        <f t="shared" si="26"/>
        <v>#NUM!</v>
      </c>
    </row>
    <row r="57" spans="1:18" x14ac:dyDescent="0.35">
      <c r="A57" s="2">
        <v>0.6</v>
      </c>
      <c r="B57" s="79">
        <f t="shared" si="26"/>
        <v>167.88341419982004</v>
      </c>
      <c r="C57" s="79">
        <f t="shared" si="26"/>
        <v>284.63086254463997</v>
      </c>
      <c r="D57" s="79">
        <f t="shared" si="26"/>
        <v>295.65961595121723</v>
      </c>
      <c r="E57" s="79">
        <f t="shared" si="26"/>
        <v>309.98182422512588</v>
      </c>
      <c r="F57" s="79" t="e">
        <f t="shared" si="26"/>
        <v>#NUM!</v>
      </c>
      <c r="G57" s="79" t="e">
        <f t="shared" si="26"/>
        <v>#NUM!</v>
      </c>
      <c r="H57" s="79" t="e">
        <f t="shared" si="26"/>
        <v>#NUM!</v>
      </c>
      <c r="I57" s="79" t="e">
        <f t="shared" si="26"/>
        <v>#NUM!</v>
      </c>
      <c r="J57" s="79" t="e">
        <f t="shared" si="26"/>
        <v>#NUM!</v>
      </c>
      <c r="K57" s="79" t="e">
        <f t="shared" si="26"/>
        <v>#NUM!</v>
      </c>
      <c r="L57" s="79" t="e">
        <f t="shared" si="26"/>
        <v>#NUM!</v>
      </c>
    </row>
    <row r="58" spans="1:18" x14ac:dyDescent="0.35">
      <c r="A58" s="2">
        <v>0.7</v>
      </c>
      <c r="B58" s="79">
        <f t="shared" si="26"/>
        <v>167.50149479169903</v>
      </c>
      <c r="C58" s="79">
        <f t="shared" si="26"/>
        <v>284.24894313651896</v>
      </c>
      <c r="D58" s="79">
        <f t="shared" si="26"/>
        <v>295.27769654309628</v>
      </c>
      <c r="E58" s="79">
        <f t="shared" si="26"/>
        <v>309.59990481700487</v>
      </c>
      <c r="F58" s="79" t="e">
        <f t="shared" si="26"/>
        <v>#NUM!</v>
      </c>
      <c r="G58" s="79" t="e">
        <f t="shared" si="26"/>
        <v>#NUM!</v>
      </c>
      <c r="H58" s="79" t="e">
        <f t="shared" si="26"/>
        <v>#NUM!</v>
      </c>
      <c r="I58" s="79" t="e">
        <f t="shared" si="26"/>
        <v>#NUM!</v>
      </c>
      <c r="J58" s="79" t="e">
        <f t="shared" si="26"/>
        <v>#NUM!</v>
      </c>
      <c r="K58" s="79" t="e">
        <f t="shared" si="26"/>
        <v>#NUM!</v>
      </c>
      <c r="L58" s="79" t="e">
        <f t="shared" si="26"/>
        <v>#NUM!</v>
      </c>
    </row>
    <row r="59" spans="1:18" x14ac:dyDescent="0.35">
      <c r="A59" s="2">
        <v>0.8</v>
      </c>
      <c r="B59" s="79">
        <f t="shared" si="26"/>
        <v>167.17066115221152</v>
      </c>
      <c r="C59" s="79">
        <f t="shared" si="26"/>
        <v>283.91810949703148</v>
      </c>
      <c r="D59" s="79">
        <f t="shared" si="26"/>
        <v>294.94686290360875</v>
      </c>
      <c r="E59" s="79">
        <f t="shared" si="26"/>
        <v>309.26907117751739</v>
      </c>
      <c r="F59" s="79" t="e">
        <f t="shared" si="26"/>
        <v>#NUM!</v>
      </c>
      <c r="G59" s="79" t="e">
        <f t="shared" si="26"/>
        <v>#NUM!</v>
      </c>
      <c r="H59" s="79" t="e">
        <f t="shared" si="26"/>
        <v>#NUM!</v>
      </c>
      <c r="I59" s="79" t="e">
        <f t="shared" si="26"/>
        <v>#NUM!</v>
      </c>
      <c r="J59" s="79" t="e">
        <f t="shared" si="26"/>
        <v>#NUM!</v>
      </c>
      <c r="K59" s="79" t="e">
        <f t="shared" si="26"/>
        <v>#NUM!</v>
      </c>
      <c r="L59" s="79" t="e">
        <f t="shared" si="26"/>
        <v>#NUM!</v>
      </c>
    </row>
    <row r="60" spans="1:18" x14ac:dyDescent="0.35">
      <c r="A60" s="2">
        <v>0.9</v>
      </c>
      <c r="B60" s="79">
        <f t="shared" si="26"/>
        <v>166.87884520099428</v>
      </c>
      <c r="C60" s="79">
        <f t="shared" si="26"/>
        <v>283.62629354581418</v>
      </c>
      <c r="D60" s="79">
        <f t="shared" si="26"/>
        <v>294.6550469523915</v>
      </c>
      <c r="E60" s="79">
        <f t="shared" si="26"/>
        <v>308.97725522630009</v>
      </c>
      <c r="F60" s="79" t="e">
        <f t="shared" si="26"/>
        <v>#NUM!</v>
      </c>
      <c r="G60" s="79" t="e">
        <f t="shared" si="26"/>
        <v>#NUM!</v>
      </c>
      <c r="H60" s="79" t="e">
        <f t="shared" si="26"/>
        <v>#NUM!</v>
      </c>
      <c r="I60" s="79" t="e">
        <f t="shared" si="26"/>
        <v>#NUM!</v>
      </c>
      <c r="J60" s="79" t="e">
        <f t="shared" si="26"/>
        <v>#NUM!</v>
      </c>
      <c r="K60" s="79" t="e">
        <f t="shared" si="26"/>
        <v>#NUM!</v>
      </c>
      <c r="L60" s="79" t="e">
        <f t="shared" si="26"/>
        <v>#NUM!</v>
      </c>
    </row>
    <row r="61" spans="1:18" x14ac:dyDescent="0.35">
      <c r="A61" s="2">
        <v>1</v>
      </c>
      <c r="B61" s="79">
        <f t="shared" si="26"/>
        <v>166.61780693749486</v>
      </c>
      <c r="C61" s="79">
        <f t="shared" si="26"/>
        <v>283.36525528231482</v>
      </c>
      <c r="D61" s="79">
        <f t="shared" si="26"/>
        <v>294.39400868889209</v>
      </c>
      <c r="E61" s="79">
        <f t="shared" si="26"/>
        <v>308.71621696280073</v>
      </c>
      <c r="F61" s="79" t="e">
        <f t="shared" si="26"/>
        <v>#NUM!</v>
      </c>
      <c r="G61" s="79" t="e">
        <f t="shared" si="26"/>
        <v>#NUM!</v>
      </c>
      <c r="H61" s="79" t="e">
        <f t="shared" si="26"/>
        <v>#NUM!</v>
      </c>
      <c r="I61" s="79" t="e">
        <f t="shared" si="26"/>
        <v>#NUM!</v>
      </c>
      <c r="J61" s="79" t="e">
        <f t="shared" si="26"/>
        <v>#NUM!</v>
      </c>
      <c r="K61" s="79" t="e">
        <f t="shared" si="26"/>
        <v>#NUM!</v>
      </c>
      <c r="L61" s="79" t="e">
        <f t="shared" si="26"/>
        <v>#NUM!</v>
      </c>
    </row>
  </sheetData>
  <mergeCells count="7">
    <mergeCell ref="B49:H49"/>
    <mergeCell ref="B1:H1"/>
    <mergeCell ref="B17:H17"/>
    <mergeCell ref="B32:H32"/>
    <mergeCell ref="B33:H33"/>
    <mergeCell ref="B48:H48"/>
    <mergeCell ref="B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5"/>
  <sheetViews>
    <sheetView zoomScale="70" zoomScaleNormal="70" workbookViewId="0">
      <selection activeCell="Z21" sqref="Z21:Z31"/>
    </sheetView>
  </sheetViews>
  <sheetFormatPr defaultRowHeight="14.5" x14ac:dyDescent="0.35"/>
  <cols>
    <col min="1" max="1" width="12.7265625" bestFit="1" customWidth="1"/>
    <col min="2" max="2" width="12.7265625" style="2" hidden="1" customWidth="1"/>
    <col min="4" max="4" width="10" style="2" bestFit="1" customWidth="1"/>
    <col min="5" max="7" width="8.81640625" style="2"/>
    <col min="9" max="9" width="8.81640625" style="2"/>
    <col min="11" max="11" width="8.81640625" style="2"/>
    <col min="13" max="13" width="8.81640625" style="2"/>
    <col min="15" max="15" width="8.81640625" style="2"/>
    <col min="17" max="17" width="8.81640625" style="2"/>
    <col min="19" max="19" width="8.81640625" style="2"/>
    <col min="21" max="21" width="8.81640625" style="2"/>
    <col min="23" max="23" width="8.81640625" style="2"/>
    <col min="25" max="25" width="8.81640625" style="2"/>
  </cols>
  <sheetData>
    <row r="1" spans="1:27" s="2" customFormat="1" x14ac:dyDescent="0.35">
      <c r="C1" s="93" t="s">
        <v>178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86"/>
    </row>
    <row r="2" spans="1:27" s="2" customFormat="1" x14ac:dyDescent="0.35">
      <c r="A2" s="2" t="s">
        <v>181</v>
      </c>
      <c r="C2" s="93" t="s">
        <v>177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86"/>
    </row>
    <row r="3" spans="1:27" s="2" customFormat="1" x14ac:dyDescent="0.35">
      <c r="A3" s="2" t="s">
        <v>179</v>
      </c>
      <c r="B3" s="2">
        <v>0</v>
      </c>
      <c r="C3" s="2">
        <v>1E-8</v>
      </c>
      <c r="D3" s="2">
        <v>9.9999999999999995E-7</v>
      </c>
      <c r="E3" s="2">
        <v>1E-4</v>
      </c>
      <c r="F3" s="2">
        <v>0.01</v>
      </c>
      <c r="G3" s="2">
        <v>0.05</v>
      </c>
      <c r="H3" s="2">
        <v>0.1</v>
      </c>
      <c r="I3" s="2">
        <v>0.15</v>
      </c>
      <c r="J3" s="2">
        <v>0.2</v>
      </c>
      <c r="K3" s="2">
        <v>0.25</v>
      </c>
      <c r="L3" s="2">
        <v>0.3</v>
      </c>
      <c r="M3" s="2">
        <v>0.35</v>
      </c>
      <c r="N3" s="2">
        <v>0.4</v>
      </c>
      <c r="O3" s="2">
        <v>0.45</v>
      </c>
      <c r="P3" s="2">
        <v>0.5</v>
      </c>
      <c r="Q3" s="2">
        <v>0.55000000000000004</v>
      </c>
      <c r="R3" s="2">
        <v>0.6</v>
      </c>
      <c r="S3" s="2">
        <v>0.65</v>
      </c>
      <c r="T3" s="2">
        <v>0.7</v>
      </c>
      <c r="U3" s="2">
        <v>0.75</v>
      </c>
      <c r="V3" s="2">
        <v>0.8</v>
      </c>
      <c r="W3" s="2">
        <v>0.85</v>
      </c>
      <c r="X3" s="2">
        <v>0.9</v>
      </c>
      <c r="Y3" s="2">
        <v>0.95</v>
      </c>
      <c r="Z3" s="2">
        <v>1</v>
      </c>
    </row>
    <row r="4" spans="1:27" s="2" customFormat="1" x14ac:dyDescent="0.35">
      <c r="A4" s="2">
        <v>0</v>
      </c>
      <c r="B4" s="79" t="e">
        <f t="shared" ref="B4:B15" si="0">295.3678+0.008314*298*LN(($C$19*(1*$C$19)^(1))/($A4*(1-1*$C$19)^(1)))</f>
        <v>#DIV/0!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0</v>
      </c>
      <c r="W4" s="79">
        <v>0</v>
      </c>
      <c r="X4" s="79">
        <v>0</v>
      </c>
      <c r="Y4" s="79">
        <v>0</v>
      </c>
      <c r="Z4" s="79">
        <v>0</v>
      </c>
    </row>
    <row r="5" spans="1:27" s="2" customFormat="1" x14ac:dyDescent="0.35">
      <c r="A5" s="2">
        <v>1.0000000000000001E-5</v>
      </c>
      <c r="B5" s="79"/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79">
        <v>0</v>
      </c>
      <c r="T5" s="79">
        <v>0</v>
      </c>
      <c r="U5" s="79">
        <v>0</v>
      </c>
      <c r="V5" s="79">
        <v>0</v>
      </c>
      <c r="W5" s="79">
        <v>0</v>
      </c>
      <c r="X5" s="79">
        <v>0</v>
      </c>
      <c r="Y5" s="79">
        <v>0</v>
      </c>
      <c r="Z5" s="79">
        <v>0</v>
      </c>
      <c r="AA5" s="2" t="s">
        <v>211</v>
      </c>
    </row>
    <row r="6" spans="1:27" s="2" customFormat="1" x14ac:dyDescent="0.35">
      <c r="A6" s="2">
        <v>0.1</v>
      </c>
      <c r="B6" s="79">
        <f t="shared" si="0"/>
        <v>209.79549471448405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79">
        <v>0</v>
      </c>
      <c r="T6" s="79">
        <v>0</v>
      </c>
      <c r="U6" s="79">
        <v>0</v>
      </c>
      <c r="V6" s="79">
        <v>0</v>
      </c>
      <c r="W6" s="79">
        <v>0</v>
      </c>
      <c r="X6" s="79">
        <v>0</v>
      </c>
      <c r="Y6" s="79">
        <v>0</v>
      </c>
      <c r="Z6" s="79">
        <v>0</v>
      </c>
    </row>
    <row r="7" spans="1:27" s="2" customFormat="1" x14ac:dyDescent="0.35">
      <c r="A7" s="2">
        <v>0.2</v>
      </c>
      <c r="B7" s="79">
        <f t="shared" si="0"/>
        <v>208.07817266804977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0</v>
      </c>
      <c r="X7" s="79">
        <v>0</v>
      </c>
      <c r="Y7" s="79">
        <v>0</v>
      </c>
      <c r="Z7" s="79">
        <v>0</v>
      </c>
    </row>
    <row r="8" spans="1:27" s="2" customFormat="1" x14ac:dyDescent="0.35">
      <c r="A8" s="2">
        <v>0.3</v>
      </c>
      <c r="B8" s="79">
        <f t="shared" si="0"/>
        <v>207.07360366922404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</row>
    <row r="9" spans="1:27" s="2" customFormat="1" x14ac:dyDescent="0.35">
      <c r="A9" s="2">
        <v>0.4</v>
      </c>
      <c r="B9" s="79">
        <f t="shared" si="0"/>
        <v>206.36085062161553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79">
        <v>0</v>
      </c>
      <c r="Y9" s="79">
        <v>0</v>
      </c>
      <c r="Z9" s="79">
        <v>0</v>
      </c>
    </row>
    <row r="10" spans="1:27" s="2" customFormat="1" x14ac:dyDescent="0.35">
      <c r="A10" s="2">
        <v>0.5</v>
      </c>
      <c r="B10" s="79">
        <f t="shared" si="0"/>
        <v>205.80799640689889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0</v>
      </c>
      <c r="X10" s="79">
        <v>0</v>
      </c>
      <c r="Y10" s="79">
        <v>0</v>
      </c>
      <c r="Z10" s="79">
        <v>0</v>
      </c>
    </row>
    <row r="11" spans="1:27" s="2" customFormat="1" x14ac:dyDescent="0.35">
      <c r="A11" s="2">
        <v>0.6</v>
      </c>
      <c r="B11" s="79">
        <f t="shared" si="0"/>
        <v>205.35628162278977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0</v>
      </c>
      <c r="X11" s="79">
        <v>0</v>
      </c>
      <c r="Y11" s="79">
        <v>0</v>
      </c>
      <c r="Z11" s="79">
        <v>0</v>
      </c>
    </row>
    <row r="12" spans="1:27" s="2" customFormat="1" x14ac:dyDescent="0.35">
      <c r="A12" s="2">
        <v>0.7</v>
      </c>
      <c r="B12" s="79">
        <f t="shared" si="0"/>
        <v>204.97436221466879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0</v>
      </c>
      <c r="Z12" s="79">
        <v>0</v>
      </c>
    </row>
    <row r="13" spans="1:27" s="2" customFormat="1" x14ac:dyDescent="0.35">
      <c r="A13" s="2">
        <v>0.8</v>
      </c>
      <c r="B13" s="79">
        <f t="shared" si="0"/>
        <v>204.64352857518128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79">
        <v>0</v>
      </c>
      <c r="Y13" s="79">
        <v>0</v>
      </c>
      <c r="Z13" s="79">
        <v>0</v>
      </c>
    </row>
    <row r="14" spans="1:27" s="2" customFormat="1" x14ac:dyDescent="0.35">
      <c r="A14" s="2">
        <v>0.9</v>
      </c>
      <c r="B14" s="79">
        <f t="shared" si="0"/>
        <v>204.351712623964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0</v>
      </c>
      <c r="Z14" s="79">
        <v>0</v>
      </c>
    </row>
    <row r="15" spans="1:27" s="2" customFormat="1" x14ac:dyDescent="0.35">
      <c r="A15" s="2">
        <v>1</v>
      </c>
      <c r="B15" s="79">
        <f t="shared" si="0"/>
        <v>204.09067436046462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0</v>
      </c>
      <c r="Z15" s="79">
        <v>0</v>
      </c>
    </row>
    <row r="16" spans="1:27" s="2" customFormat="1" x14ac:dyDescent="0.35">
      <c r="B16" s="79"/>
      <c r="C16" s="79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8" x14ac:dyDescent="0.35">
      <c r="A17" s="2"/>
      <c r="C17" s="93" t="s">
        <v>178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81"/>
      <c r="T17" s="2"/>
      <c r="V17" s="2"/>
      <c r="X17" s="2"/>
      <c r="Z17" s="2"/>
    </row>
    <row r="18" spans="1:28" x14ac:dyDescent="0.35">
      <c r="A18" s="2" t="s">
        <v>181</v>
      </c>
      <c r="C18" s="93" t="s">
        <v>177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81"/>
      <c r="T18" s="2"/>
      <c r="V18" s="2"/>
      <c r="X18" s="2"/>
      <c r="Z18" s="2"/>
    </row>
    <row r="19" spans="1:28" x14ac:dyDescent="0.35">
      <c r="A19" s="2" t="s">
        <v>179</v>
      </c>
      <c r="B19" s="2">
        <v>0</v>
      </c>
      <c r="C19" s="2">
        <v>1E-8</v>
      </c>
      <c r="D19" s="2">
        <v>9.9999999999999995E-7</v>
      </c>
      <c r="E19" s="2">
        <v>1E-4</v>
      </c>
      <c r="F19" s="2">
        <v>0.01</v>
      </c>
      <c r="G19" s="2">
        <v>0.05</v>
      </c>
      <c r="H19" s="2">
        <v>0.1</v>
      </c>
      <c r="I19" s="2">
        <v>0.15</v>
      </c>
      <c r="J19" s="2">
        <v>0.2</v>
      </c>
      <c r="K19" s="2">
        <v>0.25</v>
      </c>
      <c r="L19" s="2">
        <v>0.3</v>
      </c>
      <c r="M19" s="2">
        <v>0.35</v>
      </c>
      <c r="N19" s="2">
        <v>0.4</v>
      </c>
      <c r="O19" s="2">
        <v>0.45</v>
      </c>
      <c r="P19" s="2">
        <v>0.5</v>
      </c>
      <c r="Q19" s="2">
        <v>0.55000000000000004</v>
      </c>
      <c r="R19" s="2">
        <v>0.6</v>
      </c>
      <c r="S19" s="2">
        <v>0.65</v>
      </c>
      <c r="T19" s="2">
        <v>0.7</v>
      </c>
      <c r="U19" s="2">
        <v>0.75</v>
      </c>
      <c r="V19" s="2">
        <v>0.8</v>
      </c>
      <c r="W19" s="2">
        <v>0.85</v>
      </c>
      <c r="X19" s="2">
        <v>0.9</v>
      </c>
      <c r="Y19" s="2">
        <v>0.95</v>
      </c>
      <c r="Z19" s="2">
        <v>0.999</v>
      </c>
      <c r="AA19" s="2">
        <v>1</v>
      </c>
    </row>
    <row r="20" spans="1:28" x14ac:dyDescent="0.35">
      <c r="A20" s="2">
        <v>0</v>
      </c>
      <c r="B20" s="79" t="e">
        <f t="shared" ref="B20:B31" si="1">295.3678+0.008314*298*LN(($C$19*(1*$C$19)^(1))/($A20*(1-1*$C$19)^(1)))</f>
        <v>#DIV/0!</v>
      </c>
      <c r="C20" s="79" t="e">
        <f>295.3678+0.008314*298*LN((C$19*(1*C$19)^(1))/($A20*(1-1*C$19)^(1)))</f>
        <v>#DIV/0!</v>
      </c>
      <c r="D20" s="87" t="e">
        <f t="shared" ref="D20:AA31" si="2">295.3678+0.008314*298*LN((D$19*(1*D$19)^(1))/($A20*(1-1*D$19)^(1)))</f>
        <v>#DIV/0!</v>
      </c>
      <c r="E20" s="87" t="e">
        <f t="shared" si="2"/>
        <v>#DIV/0!</v>
      </c>
      <c r="F20" s="87" t="e">
        <f t="shared" si="2"/>
        <v>#DIV/0!</v>
      </c>
      <c r="G20" s="87" t="e">
        <f t="shared" si="2"/>
        <v>#DIV/0!</v>
      </c>
      <c r="H20" s="87" t="e">
        <f t="shared" si="2"/>
        <v>#DIV/0!</v>
      </c>
      <c r="I20" s="87" t="e">
        <f t="shared" si="2"/>
        <v>#DIV/0!</v>
      </c>
      <c r="J20" s="87" t="e">
        <f t="shared" si="2"/>
        <v>#DIV/0!</v>
      </c>
      <c r="K20" s="87" t="e">
        <f t="shared" si="2"/>
        <v>#DIV/0!</v>
      </c>
      <c r="L20" s="87" t="e">
        <f t="shared" si="2"/>
        <v>#DIV/0!</v>
      </c>
      <c r="M20" s="87" t="e">
        <f t="shared" si="2"/>
        <v>#DIV/0!</v>
      </c>
      <c r="N20" s="87" t="e">
        <f t="shared" si="2"/>
        <v>#DIV/0!</v>
      </c>
      <c r="O20" s="87" t="e">
        <f t="shared" si="2"/>
        <v>#DIV/0!</v>
      </c>
      <c r="P20" s="87" t="e">
        <f t="shared" si="2"/>
        <v>#DIV/0!</v>
      </c>
      <c r="Q20" s="87" t="e">
        <f t="shared" si="2"/>
        <v>#DIV/0!</v>
      </c>
      <c r="R20" s="87" t="e">
        <f t="shared" si="2"/>
        <v>#DIV/0!</v>
      </c>
      <c r="S20" s="87" t="e">
        <f t="shared" si="2"/>
        <v>#DIV/0!</v>
      </c>
      <c r="T20" s="87" t="e">
        <f t="shared" si="2"/>
        <v>#DIV/0!</v>
      </c>
      <c r="U20" s="87" t="e">
        <f t="shared" si="2"/>
        <v>#DIV/0!</v>
      </c>
      <c r="V20" s="87" t="e">
        <f t="shared" si="2"/>
        <v>#DIV/0!</v>
      </c>
      <c r="W20" s="87" t="e">
        <f t="shared" si="2"/>
        <v>#DIV/0!</v>
      </c>
      <c r="X20" s="87" t="e">
        <f t="shared" si="2"/>
        <v>#DIV/0!</v>
      </c>
      <c r="Y20" s="87" t="e">
        <f t="shared" si="2"/>
        <v>#DIV/0!</v>
      </c>
      <c r="Z20" s="87" t="e">
        <f t="shared" ref="Z20:Z31" si="3">295.3678+0.008314*298*LN((Z$19*(1*Z$19)^(1))/($A20*(1-1*Z$19)^(1)))</f>
        <v>#DIV/0!</v>
      </c>
      <c r="AA20" s="87" t="e">
        <f t="shared" si="2"/>
        <v>#DIV/0!</v>
      </c>
    </row>
    <row r="21" spans="1:28" s="2" customFormat="1" x14ac:dyDescent="0.35">
      <c r="A21" s="2">
        <v>1.0000000000000001E-5</v>
      </c>
      <c r="B21" s="79"/>
      <c r="C21" s="79">
        <f t="shared" ref="C21" si="4">295.3678+0.008314*298*LN((C$19*(1*C$19)^(1))/($A21*(1-1*C$19)^(1)))</f>
        <v>232.61477613056184</v>
      </c>
      <c r="D21" s="79">
        <f t="shared" si="2"/>
        <v>255.43405999943712</v>
      </c>
      <c r="E21" s="79">
        <f t="shared" si="2"/>
        <v>278.25358670753036</v>
      </c>
      <c r="F21" s="79">
        <f t="shared" si="2"/>
        <v>301.09752078472064</v>
      </c>
      <c r="G21" s="79">
        <f t="shared" si="2"/>
        <v>309.17469979915217</v>
      </c>
      <c r="H21" s="79">
        <f t="shared" si="2"/>
        <v>312.7432993255577</v>
      </c>
      <c r="I21" s="79">
        <f t="shared" si="2"/>
        <v>314.89405140890352</v>
      </c>
      <c r="J21" s="79">
        <f t="shared" si="2"/>
        <v>316.4697593696435</v>
      </c>
      <c r="K21" s="79">
        <f t="shared" si="2"/>
        <v>317.73536663196865</v>
      </c>
      <c r="L21" s="79">
        <f t="shared" si="2"/>
        <v>318.80973100678256</v>
      </c>
      <c r="M21" s="79">
        <f t="shared" si="2"/>
        <v>319.75717765980937</v>
      </c>
      <c r="N21" s="79">
        <f t="shared" si="2"/>
        <v>320.61715651012054</v>
      </c>
      <c r="O21" s="79">
        <f t="shared" si="2"/>
        <v>321.41636536386602</v>
      </c>
      <c r="P21" s="79">
        <f t="shared" si="2"/>
        <v>322.17457972366293</v>
      </c>
      <c r="Q21" s="79">
        <f t="shared" si="2"/>
        <v>322.90789365275867</v>
      </c>
      <c r="R21" s="79">
        <f t="shared" si="2"/>
        <v>323.63086350659779</v>
      </c>
      <c r="S21" s="79">
        <f t="shared" si="2"/>
        <v>324.35832028875762</v>
      </c>
      <c r="T21" s="79">
        <f t="shared" si="2"/>
        <v>325.10745537044829</v>
      </c>
      <c r="U21" s="79">
        <f t="shared" ref="U21:AA21" si="5">295.3678+0.008314*298*LN((U$19*(1*U$19)^(1))/($A21*(1-1*U$19)^(1)))</f>
        <v>325.90103976774873</v>
      </c>
      <c r="V21" s="79">
        <f t="shared" si="5"/>
        <v>326.7736916482491</v>
      </c>
      <c r="W21" s="79">
        <f t="shared" si="5"/>
        <v>327.78684842690359</v>
      </c>
      <c r="X21" s="79">
        <f t="shared" si="5"/>
        <v>329.07464559711786</v>
      </c>
      <c r="Y21" s="79">
        <f t="shared" si="5"/>
        <v>331.05987851062622</v>
      </c>
      <c r="Z21" s="79">
        <f t="shared" si="5"/>
        <v>341.00140520893058</v>
      </c>
      <c r="AA21" s="79" t="e">
        <f t="shared" si="5"/>
        <v>#DIV/0!</v>
      </c>
      <c r="AB21" s="2" t="s">
        <v>211</v>
      </c>
    </row>
    <row r="22" spans="1:28" x14ac:dyDescent="0.35">
      <c r="A22" s="2">
        <v>0.1</v>
      </c>
      <c r="B22" s="79">
        <f t="shared" si="1"/>
        <v>209.79549471448405</v>
      </c>
      <c r="C22" s="79">
        <f>295.3678+0.008314*298*LN((C$19*(1*C$19)^(1))/($A22*(1-1*C$19)^(1)))</f>
        <v>209.79549471448405</v>
      </c>
      <c r="D22" s="87">
        <f t="shared" si="2"/>
        <v>232.61477858335934</v>
      </c>
      <c r="E22" s="87">
        <f t="shared" si="2"/>
        <v>255.43430529145257</v>
      </c>
      <c r="F22" s="87">
        <f t="shared" si="2"/>
        <v>278.27823936864291</v>
      </c>
      <c r="G22" s="87">
        <f t="shared" si="2"/>
        <v>286.35541838307438</v>
      </c>
      <c r="H22" s="87">
        <f t="shared" si="2"/>
        <v>289.92401790947991</v>
      </c>
      <c r="I22" s="87">
        <f t="shared" si="2"/>
        <v>292.07476999282574</v>
      </c>
      <c r="J22" s="87">
        <f t="shared" si="2"/>
        <v>293.65047795356571</v>
      </c>
      <c r="K22" s="87">
        <f t="shared" si="2"/>
        <v>294.91608521589086</v>
      </c>
      <c r="L22" s="87">
        <f t="shared" si="2"/>
        <v>295.99044959070477</v>
      </c>
      <c r="M22" s="87">
        <f t="shared" si="2"/>
        <v>296.93789624373159</v>
      </c>
      <c r="N22" s="87">
        <f t="shared" si="2"/>
        <v>297.79787509404275</v>
      </c>
      <c r="O22" s="87">
        <f t="shared" si="2"/>
        <v>298.59708394778824</v>
      </c>
      <c r="P22" s="87">
        <f t="shared" si="2"/>
        <v>299.35529830758514</v>
      </c>
      <c r="Q22" s="87">
        <f t="shared" si="2"/>
        <v>300.08861223668089</v>
      </c>
      <c r="R22" s="87">
        <f t="shared" si="2"/>
        <v>300.81158209052006</v>
      </c>
      <c r="S22" s="87">
        <f t="shared" si="2"/>
        <v>301.53903887267984</v>
      </c>
      <c r="T22" s="87">
        <f t="shared" si="2"/>
        <v>302.28817395437051</v>
      </c>
      <c r="U22" s="87">
        <f t="shared" si="2"/>
        <v>303.08175835167094</v>
      </c>
      <c r="V22" s="87">
        <f t="shared" si="2"/>
        <v>303.95441023217131</v>
      </c>
      <c r="W22" s="87">
        <f t="shared" si="2"/>
        <v>304.9675670108258</v>
      </c>
      <c r="X22" s="87">
        <f t="shared" si="2"/>
        <v>306.25536418104008</v>
      </c>
      <c r="Y22" s="87">
        <f t="shared" si="2"/>
        <v>308.24059709454843</v>
      </c>
      <c r="Z22" s="87">
        <f t="shared" si="3"/>
        <v>318.18212379285279</v>
      </c>
      <c r="AA22" s="87" t="e">
        <f t="shared" si="2"/>
        <v>#DIV/0!</v>
      </c>
    </row>
    <row r="23" spans="1:28" x14ac:dyDescent="0.35">
      <c r="A23" s="2">
        <v>0.2</v>
      </c>
      <c r="B23" s="79">
        <f t="shared" si="1"/>
        <v>208.07817266804977</v>
      </c>
      <c r="C23" s="79">
        <f t="shared" ref="C23:R31" si="6">295.3678+0.008314*298*LN((C$19*(1*C$19)^(1))/($A23*(1-1*C$19)^(1)))</f>
        <v>208.07817266804977</v>
      </c>
      <c r="D23" s="87">
        <f t="shared" si="6"/>
        <v>230.89745653692506</v>
      </c>
      <c r="E23" s="87">
        <f t="shared" si="6"/>
        <v>253.7169832450183</v>
      </c>
      <c r="F23" s="87">
        <f t="shared" si="6"/>
        <v>276.56091732220864</v>
      </c>
      <c r="G23" s="87">
        <f t="shared" si="6"/>
        <v>284.6380963366401</v>
      </c>
      <c r="H23" s="87">
        <f t="shared" si="6"/>
        <v>288.2066958630457</v>
      </c>
      <c r="I23" s="87">
        <f t="shared" si="6"/>
        <v>290.35744794639146</v>
      </c>
      <c r="J23" s="87">
        <f t="shared" si="6"/>
        <v>291.93315590713144</v>
      </c>
      <c r="K23" s="87">
        <f t="shared" si="6"/>
        <v>293.19876316945658</v>
      </c>
      <c r="L23" s="87">
        <f t="shared" si="6"/>
        <v>294.27312754427049</v>
      </c>
      <c r="M23" s="87">
        <f t="shared" si="6"/>
        <v>295.22057419729731</v>
      </c>
      <c r="N23" s="87">
        <f t="shared" si="6"/>
        <v>296.08055304760848</v>
      </c>
      <c r="O23" s="87">
        <f t="shared" si="6"/>
        <v>296.87976190135396</v>
      </c>
      <c r="P23" s="87">
        <f t="shared" si="6"/>
        <v>297.63797626115092</v>
      </c>
      <c r="Q23" s="87">
        <f t="shared" si="6"/>
        <v>298.37129019024661</v>
      </c>
      <c r="R23" s="87">
        <f t="shared" si="6"/>
        <v>299.09426004408579</v>
      </c>
      <c r="S23" s="87">
        <f t="shared" si="2"/>
        <v>299.82171682624556</v>
      </c>
      <c r="T23" s="87">
        <f t="shared" si="2"/>
        <v>300.57085190793623</v>
      </c>
      <c r="U23" s="87">
        <f t="shared" si="2"/>
        <v>301.36443630523667</v>
      </c>
      <c r="V23" s="87">
        <f t="shared" si="2"/>
        <v>302.23708818573704</v>
      </c>
      <c r="W23" s="87">
        <f t="shared" si="2"/>
        <v>303.25024496439153</v>
      </c>
      <c r="X23" s="87">
        <f t="shared" si="2"/>
        <v>304.5380421346058</v>
      </c>
      <c r="Y23" s="87">
        <f t="shared" si="2"/>
        <v>306.52327504811416</v>
      </c>
      <c r="Z23" s="87">
        <f t="shared" si="3"/>
        <v>316.46480174641852</v>
      </c>
      <c r="AA23" s="87" t="e">
        <f t="shared" si="2"/>
        <v>#DIV/0!</v>
      </c>
    </row>
    <row r="24" spans="1:28" x14ac:dyDescent="0.35">
      <c r="A24" s="2">
        <v>0.3</v>
      </c>
      <c r="B24" s="79">
        <f t="shared" si="1"/>
        <v>207.07360366922404</v>
      </c>
      <c r="C24" s="79">
        <f t="shared" si="6"/>
        <v>207.07360366922404</v>
      </c>
      <c r="D24" s="87">
        <f t="shared" si="2"/>
        <v>229.89288753809933</v>
      </c>
      <c r="E24" s="87">
        <f t="shared" si="2"/>
        <v>252.71241424619254</v>
      </c>
      <c r="F24" s="87">
        <f t="shared" si="2"/>
        <v>275.55634832338285</v>
      </c>
      <c r="G24" s="87">
        <f t="shared" si="2"/>
        <v>283.63352733781437</v>
      </c>
      <c r="H24" s="87">
        <f t="shared" si="2"/>
        <v>287.20212686421991</v>
      </c>
      <c r="I24" s="87">
        <f t="shared" si="2"/>
        <v>289.35287894756573</v>
      </c>
      <c r="J24" s="87">
        <f t="shared" si="2"/>
        <v>290.9285869083057</v>
      </c>
      <c r="K24" s="87">
        <f t="shared" si="2"/>
        <v>292.19419417063085</v>
      </c>
      <c r="L24" s="87">
        <f t="shared" si="2"/>
        <v>293.26855854544476</v>
      </c>
      <c r="M24" s="87">
        <f t="shared" si="2"/>
        <v>294.21600519847152</v>
      </c>
      <c r="N24" s="87">
        <f t="shared" si="2"/>
        <v>295.07598404878274</v>
      </c>
      <c r="O24" s="87">
        <f t="shared" si="2"/>
        <v>295.87519290252817</v>
      </c>
      <c r="P24" s="87">
        <f t="shared" si="2"/>
        <v>296.63340726232514</v>
      </c>
      <c r="Q24" s="87">
        <f t="shared" si="2"/>
        <v>297.36672119142088</v>
      </c>
      <c r="R24" s="87">
        <f t="shared" si="2"/>
        <v>298.08969104526</v>
      </c>
      <c r="S24" s="87">
        <f t="shared" si="2"/>
        <v>298.81714782741983</v>
      </c>
      <c r="T24" s="87">
        <f t="shared" si="2"/>
        <v>299.5662829091105</v>
      </c>
      <c r="U24" s="87">
        <f t="shared" si="2"/>
        <v>300.35986730641093</v>
      </c>
      <c r="V24" s="87">
        <f t="shared" si="2"/>
        <v>301.2325191869113</v>
      </c>
      <c r="W24" s="87">
        <f t="shared" si="2"/>
        <v>302.24567596556574</v>
      </c>
      <c r="X24" s="87">
        <f t="shared" si="2"/>
        <v>303.53347313578007</v>
      </c>
      <c r="Y24" s="87">
        <f t="shared" si="2"/>
        <v>305.51870604928843</v>
      </c>
      <c r="Z24" s="87">
        <f t="shared" si="3"/>
        <v>315.46023274759278</v>
      </c>
      <c r="AA24" s="87" t="e">
        <f t="shared" si="2"/>
        <v>#DIV/0!</v>
      </c>
    </row>
    <row r="25" spans="1:28" x14ac:dyDescent="0.35">
      <c r="A25" s="2">
        <v>0.4</v>
      </c>
      <c r="B25" s="79">
        <f t="shared" si="1"/>
        <v>206.36085062161553</v>
      </c>
      <c r="C25" s="79">
        <f t="shared" si="6"/>
        <v>206.36085062161553</v>
      </c>
      <c r="D25" s="87">
        <f t="shared" si="2"/>
        <v>229.18013449049081</v>
      </c>
      <c r="E25" s="87">
        <f t="shared" si="2"/>
        <v>251.99966119858405</v>
      </c>
      <c r="F25" s="87">
        <f t="shared" si="2"/>
        <v>274.84359527577436</v>
      </c>
      <c r="G25" s="87">
        <f t="shared" si="2"/>
        <v>282.92077429020583</v>
      </c>
      <c r="H25" s="87">
        <f t="shared" si="2"/>
        <v>286.48937381661142</v>
      </c>
      <c r="I25" s="87">
        <f t="shared" si="2"/>
        <v>288.64012589995718</v>
      </c>
      <c r="J25" s="87">
        <f t="shared" si="2"/>
        <v>290.21583386069722</v>
      </c>
      <c r="K25" s="87">
        <f t="shared" si="2"/>
        <v>291.48144112302236</v>
      </c>
      <c r="L25" s="87">
        <f t="shared" si="2"/>
        <v>292.55580549783622</v>
      </c>
      <c r="M25" s="87">
        <f t="shared" si="2"/>
        <v>293.50325215086303</v>
      </c>
      <c r="N25" s="87">
        <f t="shared" si="2"/>
        <v>294.36323100117426</v>
      </c>
      <c r="O25" s="87">
        <f t="shared" si="2"/>
        <v>295.16243985491968</v>
      </c>
      <c r="P25" s="87">
        <f t="shared" si="2"/>
        <v>295.92065421471665</v>
      </c>
      <c r="Q25" s="87">
        <f t="shared" si="2"/>
        <v>296.65396814381234</v>
      </c>
      <c r="R25" s="87">
        <f t="shared" si="2"/>
        <v>297.37693799765151</v>
      </c>
      <c r="S25" s="87">
        <f t="shared" si="2"/>
        <v>298.10439477981129</v>
      </c>
      <c r="T25" s="87">
        <f t="shared" si="2"/>
        <v>298.85352986150195</v>
      </c>
      <c r="U25" s="87">
        <f t="shared" si="2"/>
        <v>299.64711425880245</v>
      </c>
      <c r="V25" s="87">
        <f t="shared" si="2"/>
        <v>300.51976613930276</v>
      </c>
      <c r="W25" s="87">
        <f t="shared" si="2"/>
        <v>301.53292291795725</v>
      </c>
      <c r="X25" s="87">
        <f t="shared" si="2"/>
        <v>302.82072008817158</v>
      </c>
      <c r="Y25" s="87">
        <f t="shared" si="2"/>
        <v>304.80595300167988</v>
      </c>
      <c r="Z25" s="87">
        <f t="shared" si="3"/>
        <v>314.7474796999843</v>
      </c>
      <c r="AA25" s="87" t="e">
        <f t="shared" si="2"/>
        <v>#DIV/0!</v>
      </c>
    </row>
    <row r="26" spans="1:28" x14ac:dyDescent="0.35">
      <c r="A26" s="2">
        <v>0.5</v>
      </c>
      <c r="B26" s="79">
        <f t="shared" si="1"/>
        <v>205.80799640689889</v>
      </c>
      <c r="C26" s="79">
        <f t="shared" si="6"/>
        <v>205.80799640689889</v>
      </c>
      <c r="D26" s="87">
        <f t="shared" si="2"/>
        <v>228.62728027577418</v>
      </c>
      <c r="E26" s="87">
        <f t="shared" si="2"/>
        <v>251.44680698386739</v>
      </c>
      <c r="F26" s="87">
        <f t="shared" si="2"/>
        <v>274.2907410610577</v>
      </c>
      <c r="G26" s="87">
        <f t="shared" si="2"/>
        <v>282.36792007548917</v>
      </c>
      <c r="H26" s="87">
        <f t="shared" si="2"/>
        <v>285.93651960189476</v>
      </c>
      <c r="I26" s="87">
        <f t="shared" si="2"/>
        <v>288.08727168524052</v>
      </c>
      <c r="J26" s="87">
        <f t="shared" si="2"/>
        <v>289.66297964598056</v>
      </c>
      <c r="K26" s="87">
        <f t="shared" si="2"/>
        <v>290.9285869083057</v>
      </c>
      <c r="L26" s="87">
        <f t="shared" si="2"/>
        <v>292.00295128311961</v>
      </c>
      <c r="M26" s="87">
        <f t="shared" si="2"/>
        <v>292.95039793614637</v>
      </c>
      <c r="N26" s="87">
        <f t="shared" si="2"/>
        <v>293.8103767864576</v>
      </c>
      <c r="O26" s="87">
        <f t="shared" si="2"/>
        <v>294.60958564020302</v>
      </c>
      <c r="P26" s="87">
        <f t="shared" si="2"/>
        <v>295.36779999999999</v>
      </c>
      <c r="Q26" s="87">
        <f t="shared" si="2"/>
        <v>296.10111392909567</v>
      </c>
      <c r="R26" s="87">
        <f t="shared" si="2"/>
        <v>296.82408378293485</v>
      </c>
      <c r="S26" s="87">
        <f t="shared" si="2"/>
        <v>297.55154056509468</v>
      </c>
      <c r="T26" s="87">
        <f t="shared" si="2"/>
        <v>298.30067564678535</v>
      </c>
      <c r="U26" s="87">
        <f t="shared" si="2"/>
        <v>299.09426004408579</v>
      </c>
      <c r="V26" s="87">
        <f t="shared" si="2"/>
        <v>299.96691192458616</v>
      </c>
      <c r="W26" s="87">
        <f t="shared" si="2"/>
        <v>300.98006870324059</v>
      </c>
      <c r="X26" s="87">
        <f t="shared" si="2"/>
        <v>302.26786587345492</v>
      </c>
      <c r="Y26" s="87">
        <f t="shared" si="2"/>
        <v>304.25309878696328</v>
      </c>
      <c r="Z26" s="87">
        <f t="shared" si="3"/>
        <v>314.19462548526764</v>
      </c>
      <c r="AA26" s="87" t="e">
        <f t="shared" si="2"/>
        <v>#DIV/0!</v>
      </c>
    </row>
    <row r="27" spans="1:28" x14ac:dyDescent="0.35">
      <c r="A27" s="2">
        <v>0.6</v>
      </c>
      <c r="B27" s="79">
        <f t="shared" si="1"/>
        <v>205.35628162278977</v>
      </c>
      <c r="C27" s="79">
        <f t="shared" si="6"/>
        <v>205.35628162278977</v>
      </c>
      <c r="D27" s="87">
        <f t="shared" si="2"/>
        <v>228.17556549166505</v>
      </c>
      <c r="E27" s="87">
        <f t="shared" si="2"/>
        <v>250.99509219975829</v>
      </c>
      <c r="F27" s="87">
        <f t="shared" si="2"/>
        <v>273.83902627694863</v>
      </c>
      <c r="G27" s="87">
        <f t="shared" si="2"/>
        <v>281.91620529138009</v>
      </c>
      <c r="H27" s="87">
        <f t="shared" si="2"/>
        <v>285.48480481778563</v>
      </c>
      <c r="I27" s="87">
        <f t="shared" si="2"/>
        <v>287.63555690113145</v>
      </c>
      <c r="J27" s="87">
        <f t="shared" si="2"/>
        <v>289.21126486187143</v>
      </c>
      <c r="K27" s="87">
        <f t="shared" si="2"/>
        <v>290.47687212419657</v>
      </c>
      <c r="L27" s="87">
        <f t="shared" si="2"/>
        <v>291.55123649901049</v>
      </c>
      <c r="M27" s="87">
        <f t="shared" si="2"/>
        <v>292.4986831520373</v>
      </c>
      <c r="N27" s="87">
        <f t="shared" si="2"/>
        <v>293.35866200234847</v>
      </c>
      <c r="O27" s="87">
        <f t="shared" si="2"/>
        <v>294.15787085609395</v>
      </c>
      <c r="P27" s="87">
        <f t="shared" si="2"/>
        <v>294.91608521589086</v>
      </c>
      <c r="Q27" s="87">
        <f t="shared" si="2"/>
        <v>295.6493991449866</v>
      </c>
      <c r="R27" s="87">
        <f t="shared" si="2"/>
        <v>296.37236899882578</v>
      </c>
      <c r="S27" s="87">
        <f t="shared" si="2"/>
        <v>297.09982578098555</v>
      </c>
      <c r="T27" s="87">
        <f t="shared" si="2"/>
        <v>297.84896086267622</v>
      </c>
      <c r="U27" s="87">
        <f t="shared" si="2"/>
        <v>298.64254525997666</v>
      </c>
      <c r="V27" s="87">
        <f t="shared" si="2"/>
        <v>299.51519714047703</v>
      </c>
      <c r="W27" s="87">
        <f t="shared" si="2"/>
        <v>300.52835391913152</v>
      </c>
      <c r="X27" s="87">
        <f t="shared" si="2"/>
        <v>301.81615108934579</v>
      </c>
      <c r="Y27" s="87">
        <f t="shared" si="2"/>
        <v>303.80138400285415</v>
      </c>
      <c r="Z27" s="87">
        <f t="shared" si="3"/>
        <v>313.74291070115851</v>
      </c>
      <c r="AA27" s="87" t="e">
        <f t="shared" si="2"/>
        <v>#DIV/0!</v>
      </c>
    </row>
    <row r="28" spans="1:28" x14ac:dyDescent="0.35">
      <c r="A28" s="2">
        <v>0.7</v>
      </c>
      <c r="B28" s="79">
        <f t="shared" si="1"/>
        <v>204.97436221466879</v>
      </c>
      <c r="C28" s="79">
        <f t="shared" si="6"/>
        <v>204.97436221466879</v>
      </c>
      <c r="D28" s="87">
        <f t="shared" si="2"/>
        <v>227.79364608354408</v>
      </c>
      <c r="E28" s="87">
        <f t="shared" si="2"/>
        <v>250.61317279163731</v>
      </c>
      <c r="F28" s="87">
        <f t="shared" si="2"/>
        <v>273.45710686882762</v>
      </c>
      <c r="G28" s="87">
        <f t="shared" si="2"/>
        <v>281.53428588325909</v>
      </c>
      <c r="H28" s="87">
        <f t="shared" si="2"/>
        <v>285.10288540966468</v>
      </c>
      <c r="I28" s="87">
        <f t="shared" si="2"/>
        <v>287.25363749301044</v>
      </c>
      <c r="J28" s="87">
        <f t="shared" si="2"/>
        <v>288.82934545375048</v>
      </c>
      <c r="K28" s="87">
        <f t="shared" si="2"/>
        <v>290.09495271607562</v>
      </c>
      <c r="L28" s="87">
        <f t="shared" si="2"/>
        <v>291.16931709088948</v>
      </c>
      <c r="M28" s="87">
        <f t="shared" si="2"/>
        <v>292.11676374391629</v>
      </c>
      <c r="N28" s="87">
        <f t="shared" si="2"/>
        <v>292.97674259422746</v>
      </c>
      <c r="O28" s="87">
        <f t="shared" si="2"/>
        <v>293.77595144797294</v>
      </c>
      <c r="P28" s="87">
        <f t="shared" si="2"/>
        <v>294.53416580776991</v>
      </c>
      <c r="Q28" s="87">
        <f t="shared" si="2"/>
        <v>295.2674797368656</v>
      </c>
      <c r="R28" s="87">
        <f t="shared" si="2"/>
        <v>295.99044959070477</v>
      </c>
      <c r="S28" s="87">
        <f t="shared" si="2"/>
        <v>296.71790637286455</v>
      </c>
      <c r="T28" s="87">
        <f t="shared" si="2"/>
        <v>297.46704145455521</v>
      </c>
      <c r="U28" s="87">
        <f t="shared" si="2"/>
        <v>298.26062585185571</v>
      </c>
      <c r="V28" s="87">
        <f t="shared" si="2"/>
        <v>299.13327773235602</v>
      </c>
      <c r="W28" s="87">
        <f t="shared" si="2"/>
        <v>300.14643451101051</v>
      </c>
      <c r="X28" s="87">
        <f t="shared" si="2"/>
        <v>301.43423168122484</v>
      </c>
      <c r="Y28" s="87">
        <f t="shared" si="2"/>
        <v>303.41946459473314</v>
      </c>
      <c r="Z28" s="87">
        <f t="shared" si="3"/>
        <v>313.36099129303756</v>
      </c>
      <c r="AA28" s="87" t="e">
        <f t="shared" si="2"/>
        <v>#DIV/0!</v>
      </c>
    </row>
    <row r="29" spans="1:28" x14ac:dyDescent="0.35">
      <c r="A29" s="2">
        <v>0.8</v>
      </c>
      <c r="B29" s="79">
        <f t="shared" si="1"/>
        <v>204.64352857518128</v>
      </c>
      <c r="C29" s="79">
        <f t="shared" si="6"/>
        <v>204.64352857518128</v>
      </c>
      <c r="D29" s="87">
        <f t="shared" si="2"/>
        <v>227.46281244405657</v>
      </c>
      <c r="E29" s="87">
        <f t="shared" si="2"/>
        <v>250.28233915214977</v>
      </c>
      <c r="F29" s="87">
        <f t="shared" si="2"/>
        <v>273.12627322934009</v>
      </c>
      <c r="G29" s="87">
        <f t="shared" si="2"/>
        <v>281.20345224377155</v>
      </c>
      <c r="H29" s="87">
        <f t="shared" si="2"/>
        <v>284.77205177017714</v>
      </c>
      <c r="I29" s="87">
        <f t="shared" si="2"/>
        <v>286.92280385352291</v>
      </c>
      <c r="J29" s="87">
        <f t="shared" si="2"/>
        <v>288.49851181426294</v>
      </c>
      <c r="K29" s="87">
        <f t="shared" si="2"/>
        <v>289.76411907658809</v>
      </c>
      <c r="L29" s="87">
        <f t="shared" si="2"/>
        <v>290.838483451402</v>
      </c>
      <c r="M29" s="87">
        <f t="shared" si="2"/>
        <v>291.78593010442876</v>
      </c>
      <c r="N29" s="87">
        <f t="shared" si="2"/>
        <v>292.64590895473998</v>
      </c>
      <c r="O29" s="87">
        <f t="shared" si="2"/>
        <v>293.44511780848541</v>
      </c>
      <c r="P29" s="87">
        <f t="shared" si="2"/>
        <v>294.20333216828237</v>
      </c>
      <c r="Q29" s="87">
        <f t="shared" si="2"/>
        <v>294.93664609737806</v>
      </c>
      <c r="R29" s="87">
        <f t="shared" si="2"/>
        <v>295.65961595121723</v>
      </c>
      <c r="S29" s="87">
        <f t="shared" si="2"/>
        <v>296.38707273337707</v>
      </c>
      <c r="T29" s="87">
        <f t="shared" si="2"/>
        <v>297.13620781506773</v>
      </c>
      <c r="U29" s="87">
        <f t="shared" si="2"/>
        <v>297.92979221236817</v>
      </c>
      <c r="V29" s="87">
        <f t="shared" si="2"/>
        <v>298.80244409286854</v>
      </c>
      <c r="W29" s="87">
        <f t="shared" si="2"/>
        <v>299.81560087152297</v>
      </c>
      <c r="X29" s="87">
        <f t="shared" si="2"/>
        <v>301.10339804173731</v>
      </c>
      <c r="Y29" s="87">
        <f t="shared" si="2"/>
        <v>303.08863095524566</v>
      </c>
      <c r="Z29" s="87">
        <f t="shared" si="3"/>
        <v>313.03015765355002</v>
      </c>
      <c r="AA29" s="87" t="e">
        <f t="shared" si="2"/>
        <v>#DIV/0!</v>
      </c>
    </row>
    <row r="30" spans="1:28" x14ac:dyDescent="0.35">
      <c r="A30" s="2">
        <v>0.9</v>
      </c>
      <c r="B30" s="79">
        <f t="shared" si="1"/>
        <v>204.351712623964</v>
      </c>
      <c r="C30" s="79">
        <f t="shared" si="6"/>
        <v>204.351712623964</v>
      </c>
      <c r="D30" s="87">
        <f t="shared" si="2"/>
        <v>227.17099649283932</v>
      </c>
      <c r="E30" s="87">
        <f t="shared" si="2"/>
        <v>249.99052320093253</v>
      </c>
      <c r="F30" s="87">
        <f t="shared" si="2"/>
        <v>272.83445727812284</v>
      </c>
      <c r="G30" s="87">
        <f t="shared" si="2"/>
        <v>280.91163629255431</v>
      </c>
      <c r="H30" s="87">
        <f t="shared" si="2"/>
        <v>284.4802358189599</v>
      </c>
      <c r="I30" s="87">
        <f t="shared" si="2"/>
        <v>286.63098790230566</v>
      </c>
      <c r="J30" s="87">
        <f t="shared" si="2"/>
        <v>288.2066958630457</v>
      </c>
      <c r="K30" s="87">
        <f t="shared" si="2"/>
        <v>289.47230312537084</v>
      </c>
      <c r="L30" s="87">
        <f t="shared" si="2"/>
        <v>290.5466675001847</v>
      </c>
      <c r="M30" s="87">
        <f t="shared" si="2"/>
        <v>291.49411415321151</v>
      </c>
      <c r="N30" s="87">
        <f t="shared" si="2"/>
        <v>292.35409300352268</v>
      </c>
      <c r="O30" s="87">
        <f t="shared" si="2"/>
        <v>293.15330185726816</v>
      </c>
      <c r="P30" s="87">
        <f t="shared" si="2"/>
        <v>293.91151621706513</v>
      </c>
      <c r="Q30" s="87">
        <f t="shared" si="2"/>
        <v>294.64483014616081</v>
      </c>
      <c r="R30" s="87">
        <f t="shared" si="2"/>
        <v>295.36779999999999</v>
      </c>
      <c r="S30" s="87">
        <f t="shared" si="2"/>
        <v>296.09525678215977</v>
      </c>
      <c r="T30" s="87">
        <f t="shared" si="2"/>
        <v>296.84439186385043</v>
      </c>
      <c r="U30" s="87">
        <f t="shared" si="2"/>
        <v>297.63797626115092</v>
      </c>
      <c r="V30" s="87">
        <f t="shared" si="2"/>
        <v>298.51062814165124</v>
      </c>
      <c r="W30" s="87">
        <f t="shared" si="2"/>
        <v>299.52378492030573</v>
      </c>
      <c r="X30" s="87">
        <f t="shared" si="2"/>
        <v>300.81158209052006</v>
      </c>
      <c r="Y30" s="87">
        <f t="shared" si="2"/>
        <v>302.79681500402836</v>
      </c>
      <c r="Z30" s="87">
        <f t="shared" si="3"/>
        <v>312.73834170233278</v>
      </c>
      <c r="AA30" s="87" t="e">
        <f t="shared" si="2"/>
        <v>#DIV/0!</v>
      </c>
    </row>
    <row r="31" spans="1:28" x14ac:dyDescent="0.35">
      <c r="A31" s="2">
        <v>1</v>
      </c>
      <c r="B31" s="79">
        <f t="shared" si="1"/>
        <v>204.09067436046462</v>
      </c>
      <c r="C31" s="79">
        <f t="shared" si="6"/>
        <v>204.09067436046462</v>
      </c>
      <c r="D31" s="87">
        <f t="shared" si="2"/>
        <v>226.90995822933991</v>
      </c>
      <c r="E31" s="87">
        <f t="shared" si="2"/>
        <v>249.72948493743311</v>
      </c>
      <c r="F31" s="87">
        <f t="shared" si="2"/>
        <v>272.57341901462343</v>
      </c>
      <c r="G31" s="87">
        <f t="shared" si="2"/>
        <v>280.65059802905495</v>
      </c>
      <c r="H31" s="87">
        <f t="shared" si="2"/>
        <v>284.21919755546048</v>
      </c>
      <c r="I31" s="87">
        <f t="shared" si="2"/>
        <v>286.3699496388063</v>
      </c>
      <c r="J31" s="87">
        <f t="shared" si="2"/>
        <v>287.94565759954628</v>
      </c>
      <c r="K31" s="87">
        <f t="shared" si="2"/>
        <v>289.21126486187143</v>
      </c>
      <c r="L31" s="87">
        <f t="shared" si="2"/>
        <v>290.28562923668534</v>
      </c>
      <c r="M31" s="87">
        <f t="shared" si="2"/>
        <v>291.23307588971215</v>
      </c>
      <c r="N31" s="87">
        <f t="shared" si="2"/>
        <v>292.09305474002332</v>
      </c>
      <c r="O31" s="87">
        <f t="shared" si="2"/>
        <v>292.8922635937688</v>
      </c>
      <c r="P31" s="87">
        <f t="shared" si="2"/>
        <v>293.65047795356571</v>
      </c>
      <c r="Q31" s="87">
        <f t="shared" si="2"/>
        <v>294.38379188266146</v>
      </c>
      <c r="R31" s="87">
        <f t="shared" si="2"/>
        <v>295.10676173650057</v>
      </c>
      <c r="S31" s="87">
        <f t="shared" si="2"/>
        <v>295.83421851866041</v>
      </c>
      <c r="T31" s="87">
        <f t="shared" si="2"/>
        <v>296.58335360035107</v>
      </c>
      <c r="U31" s="87">
        <f t="shared" si="2"/>
        <v>297.37693799765151</v>
      </c>
      <c r="V31" s="87">
        <f t="shared" si="2"/>
        <v>298.24958987815188</v>
      </c>
      <c r="W31" s="87">
        <f t="shared" si="2"/>
        <v>299.26274665680637</v>
      </c>
      <c r="X31" s="87">
        <f t="shared" si="2"/>
        <v>300.55054382702065</v>
      </c>
      <c r="Y31" s="87">
        <f t="shared" si="2"/>
        <v>302.535776740529</v>
      </c>
      <c r="Z31" s="87">
        <f t="shared" si="3"/>
        <v>312.47730343883336</v>
      </c>
      <c r="AA31" s="87" t="e">
        <f t="shared" si="2"/>
        <v>#DIV/0!</v>
      </c>
    </row>
    <row r="32" spans="1:28" x14ac:dyDescent="0.35">
      <c r="A32" s="2"/>
      <c r="C32" s="2"/>
      <c r="H32" s="2"/>
      <c r="J32" s="2"/>
      <c r="L32" s="2"/>
      <c r="N32" s="2"/>
      <c r="P32" s="2"/>
      <c r="R32" s="2"/>
      <c r="T32" s="2"/>
      <c r="V32" s="2"/>
      <c r="X32" s="2"/>
      <c r="Z32" s="2" t="s">
        <v>211</v>
      </c>
    </row>
    <row r="33" spans="1:26" x14ac:dyDescent="0.35">
      <c r="A33" s="2"/>
      <c r="C33" s="2"/>
      <c r="H33" s="2"/>
      <c r="J33" s="2"/>
      <c r="L33" s="2"/>
      <c r="N33" s="2"/>
      <c r="P33" s="2"/>
      <c r="R33" s="2"/>
      <c r="T33" s="2"/>
      <c r="V33" s="2"/>
      <c r="X33" s="2"/>
      <c r="Z33" s="2"/>
    </row>
    <row r="34" spans="1:26" x14ac:dyDescent="0.35">
      <c r="A34" s="2"/>
      <c r="C34" s="93" t="s">
        <v>178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81"/>
      <c r="T34" s="2"/>
      <c r="V34" s="2"/>
      <c r="X34" s="2"/>
      <c r="Z34" s="2"/>
    </row>
    <row r="35" spans="1:26" x14ac:dyDescent="0.35">
      <c r="A35" s="2" t="s">
        <v>182</v>
      </c>
      <c r="C35" s="93" t="s">
        <v>180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81"/>
      <c r="T35" s="2"/>
      <c r="V35" s="2"/>
      <c r="X35" s="2"/>
      <c r="Z35" s="2"/>
    </row>
    <row r="36" spans="1:26" x14ac:dyDescent="0.35">
      <c r="A36" s="2" t="s">
        <v>179</v>
      </c>
      <c r="B36" s="2">
        <v>0</v>
      </c>
      <c r="C36" s="2">
        <v>1E-8</v>
      </c>
      <c r="D36" s="2">
        <v>9.9999999999999995E-7</v>
      </c>
      <c r="E36" s="2">
        <v>1E-4</v>
      </c>
      <c r="F36" s="2">
        <v>0.01</v>
      </c>
      <c r="G36" s="2">
        <v>0.05</v>
      </c>
      <c r="H36" s="2">
        <v>0.1</v>
      </c>
      <c r="I36" s="2">
        <v>0.15</v>
      </c>
      <c r="J36" s="2">
        <v>0.2</v>
      </c>
      <c r="K36" s="2">
        <v>0.25</v>
      </c>
      <c r="L36" s="2">
        <v>0.3</v>
      </c>
      <c r="M36" s="2">
        <v>0.35</v>
      </c>
      <c r="N36" s="2">
        <v>0.4</v>
      </c>
      <c r="O36" s="2">
        <v>0.45</v>
      </c>
      <c r="P36" s="2">
        <v>0.5</v>
      </c>
      <c r="Q36" s="2">
        <v>0.55000000000000004</v>
      </c>
      <c r="R36" s="2">
        <v>0.6</v>
      </c>
      <c r="S36" s="2">
        <v>0.65</v>
      </c>
      <c r="T36" s="2">
        <v>0.7</v>
      </c>
      <c r="U36" s="2">
        <v>0.75</v>
      </c>
      <c r="V36" s="2">
        <v>0.8</v>
      </c>
      <c r="W36" s="2">
        <v>0.85</v>
      </c>
      <c r="X36" s="2">
        <v>0.9</v>
      </c>
      <c r="Y36" s="2">
        <v>0.95</v>
      </c>
      <c r="Z36" s="2">
        <v>1</v>
      </c>
    </row>
    <row r="37" spans="1:26" x14ac:dyDescent="0.35">
      <c r="A37" s="2">
        <v>0</v>
      </c>
      <c r="B37" s="79" t="e">
        <f t="shared" ref="B37:F48" si="7">295.3678+0.008314*298*LN((B$36*(2*B$36)^(2))/($A37*(1-2*B$36)^(2)))</f>
        <v>#DIV/0!</v>
      </c>
      <c r="C37" s="79" t="e">
        <f>295.3678+0.008314*298*LN((C$36*(2*C$36)^(2))/($A37*(1-2*C$36)^(2)))</f>
        <v>#DIV/0!</v>
      </c>
      <c r="D37" s="79" t="e">
        <f t="shared" ref="D37:F37" si="8">295.3678+0.008314*298*LN((D$36*(2*D$36)^(2))/($A37*(1-2*D$36)^(2)))</f>
        <v>#DIV/0!</v>
      </c>
      <c r="E37" s="79" t="e">
        <f t="shared" si="8"/>
        <v>#DIV/0!</v>
      </c>
      <c r="F37" s="79" t="e">
        <f t="shared" si="8"/>
        <v>#DIV/0!</v>
      </c>
      <c r="G37" s="79" t="e">
        <f t="shared" ref="G37:Z48" si="9">295.3678+0.008314*298*LN((G$36*(2*G$36)^(2))/($A37*(1-2*G$36)^(2)))</f>
        <v>#DIV/0!</v>
      </c>
      <c r="H37" s="79" t="e">
        <f t="shared" si="9"/>
        <v>#DIV/0!</v>
      </c>
      <c r="I37" s="79" t="e">
        <f t="shared" si="9"/>
        <v>#DIV/0!</v>
      </c>
      <c r="J37" s="79" t="e">
        <f t="shared" si="9"/>
        <v>#DIV/0!</v>
      </c>
      <c r="K37" s="79" t="e">
        <f t="shared" si="9"/>
        <v>#DIV/0!</v>
      </c>
      <c r="L37" s="79" t="e">
        <f t="shared" si="9"/>
        <v>#DIV/0!</v>
      </c>
      <c r="M37" s="79" t="e">
        <f t="shared" si="9"/>
        <v>#DIV/0!</v>
      </c>
      <c r="N37" s="79" t="e">
        <f t="shared" si="9"/>
        <v>#DIV/0!</v>
      </c>
      <c r="O37" s="79" t="e">
        <f t="shared" si="9"/>
        <v>#DIV/0!</v>
      </c>
      <c r="P37" s="79" t="e">
        <f t="shared" si="9"/>
        <v>#DIV/0!</v>
      </c>
      <c r="Q37" s="79" t="e">
        <f t="shared" si="9"/>
        <v>#DIV/0!</v>
      </c>
      <c r="R37" s="79" t="e">
        <f t="shared" si="9"/>
        <v>#DIV/0!</v>
      </c>
      <c r="S37" s="79" t="e">
        <f t="shared" si="9"/>
        <v>#DIV/0!</v>
      </c>
      <c r="T37" s="79" t="e">
        <f t="shared" si="9"/>
        <v>#DIV/0!</v>
      </c>
      <c r="U37" s="79" t="e">
        <f t="shared" si="9"/>
        <v>#DIV/0!</v>
      </c>
      <c r="V37" s="79" t="e">
        <f t="shared" si="9"/>
        <v>#DIV/0!</v>
      </c>
      <c r="W37" s="79" t="e">
        <f t="shared" si="9"/>
        <v>#DIV/0!</v>
      </c>
      <c r="X37" s="79" t="e">
        <f t="shared" si="9"/>
        <v>#DIV/0!</v>
      </c>
      <c r="Y37" s="79" t="e">
        <f t="shared" si="9"/>
        <v>#DIV/0!</v>
      </c>
      <c r="Z37" s="79" t="e">
        <f t="shared" si="9"/>
        <v>#DIV/0!</v>
      </c>
    </row>
    <row r="38" spans="1:26" s="2" customFormat="1" x14ac:dyDescent="0.35">
      <c r="A38" s="2">
        <v>1.0000000000000001E-5</v>
      </c>
      <c r="B38" s="79" t="e">
        <f t="shared" si="7"/>
        <v>#NUM!</v>
      </c>
      <c r="C38" s="79">
        <f t="shared" si="7"/>
        <v>190.41085746560196</v>
      </c>
      <c r="D38" s="79">
        <f t="shared" si="7"/>
        <v>224.63978940091368</v>
      </c>
      <c r="E38" s="79">
        <f t="shared" si="7"/>
        <v>258.86969274264851</v>
      </c>
      <c r="F38" s="79">
        <f t="shared" si="7"/>
        <v>293.19773106279723</v>
      </c>
      <c r="G38" s="79">
        <f t="shared" ref="G38:U39" si="10">295.3678+0.008314*298*LN((G$36*(2*G$36)^(2))/($A38*(1-2*G$36)^(2)))</f>
        <v>305.58219518860341</v>
      </c>
      <c r="H38" s="79">
        <f t="shared" si="10"/>
        <v>311.31779323034073</v>
      </c>
      <c r="I38" s="79">
        <f t="shared" si="10"/>
        <v>314.99316750579305</v>
      </c>
      <c r="J38" s="79">
        <f t="shared" si="10"/>
        <v>317.89526546486053</v>
      </c>
      <c r="K38" s="79">
        <f t="shared" si="10"/>
        <v>320.45725767722865</v>
      </c>
      <c r="L38" s="79">
        <f t="shared" si="10"/>
        <v>322.9181104589893</v>
      </c>
      <c r="M38" s="79">
        <f t="shared" si="10"/>
        <v>325.48937477856924</v>
      </c>
      <c r="N38" s="79">
        <f t="shared" si="10"/>
        <v>328.49101369468337</v>
      </c>
      <c r="O38" s="79">
        <f t="shared" si="10"/>
        <v>332.80110564120366</v>
      </c>
      <c r="P38" s="79" t="e">
        <f t="shared" si="10"/>
        <v>#DIV/0!</v>
      </c>
      <c r="Q38" s="79">
        <f t="shared" si="10"/>
        <v>334.29263393009631</v>
      </c>
      <c r="R38" s="79">
        <f t="shared" si="10"/>
        <v>331.50472069116063</v>
      </c>
      <c r="S38" s="79">
        <f t="shared" si="10"/>
        <v>330.09051740751755</v>
      </c>
      <c r="T38" s="79">
        <f t="shared" si="10"/>
        <v>329.21583482265504</v>
      </c>
      <c r="U38" s="79">
        <f t="shared" si="10"/>
        <v>328.62293081300874</v>
      </c>
      <c r="V38" s="79">
        <f t="shared" si="9"/>
        <v>328.19919774346607</v>
      </c>
      <c r="W38" s="79">
        <f t="shared" si="9"/>
        <v>327.88596452379312</v>
      </c>
      <c r="X38" s="79">
        <f t="shared" si="9"/>
        <v>327.64913950190089</v>
      </c>
      <c r="Y38" s="79">
        <f t="shared" si="9"/>
        <v>327.46737390007746</v>
      </c>
      <c r="Z38" s="79">
        <f t="shared" si="9"/>
        <v>327.32654586296576</v>
      </c>
    </row>
    <row r="39" spans="1:26" x14ac:dyDescent="0.35">
      <c r="A39" s="2">
        <v>0.1</v>
      </c>
      <c r="B39" s="79" t="e">
        <f t="shared" si="7"/>
        <v>#NUM!</v>
      </c>
      <c r="C39" s="79">
        <f t="shared" si="7"/>
        <v>167.59157604952418</v>
      </c>
      <c r="D39" s="79">
        <f t="shared" si="7"/>
        <v>201.8205079848359</v>
      </c>
      <c r="E39" s="79">
        <f t="shared" si="7"/>
        <v>236.05041132657072</v>
      </c>
      <c r="F39" s="79">
        <f t="shared" si="7"/>
        <v>270.37844964671945</v>
      </c>
      <c r="G39" s="79">
        <f t="shared" si="10"/>
        <v>282.76291377252562</v>
      </c>
      <c r="H39" s="79">
        <f t="shared" si="10"/>
        <v>288.49851181426294</v>
      </c>
      <c r="I39" s="79">
        <f t="shared" si="10"/>
        <v>292.17388608971527</v>
      </c>
      <c r="J39" s="79">
        <f t="shared" si="10"/>
        <v>295.07598404878274</v>
      </c>
      <c r="K39" s="79">
        <f t="shared" si="10"/>
        <v>297.63797626115092</v>
      </c>
      <c r="L39" s="79">
        <f t="shared" si="10"/>
        <v>300.09882904291152</v>
      </c>
      <c r="M39" s="79">
        <f t="shared" si="10"/>
        <v>302.67009336249146</v>
      </c>
      <c r="N39" s="79">
        <f t="shared" si="10"/>
        <v>305.67173227860559</v>
      </c>
      <c r="O39" s="79">
        <f t="shared" si="10"/>
        <v>309.98182422512588</v>
      </c>
      <c r="P39" s="79" t="e">
        <f t="shared" si="10"/>
        <v>#DIV/0!</v>
      </c>
      <c r="Q39" s="79">
        <f t="shared" si="10"/>
        <v>311.47335251401853</v>
      </c>
      <c r="R39" s="79">
        <f t="shared" si="10"/>
        <v>308.68543927508284</v>
      </c>
      <c r="S39" s="79">
        <f t="shared" si="10"/>
        <v>307.27123599143977</v>
      </c>
      <c r="T39" s="79">
        <f t="shared" si="10"/>
        <v>306.39655340657725</v>
      </c>
      <c r="U39" s="79">
        <f t="shared" si="10"/>
        <v>305.80364939693101</v>
      </c>
      <c r="V39" s="79">
        <f t="shared" si="9"/>
        <v>305.37991632738834</v>
      </c>
      <c r="W39" s="79">
        <f t="shared" si="9"/>
        <v>305.06668310771533</v>
      </c>
      <c r="X39" s="79">
        <f t="shared" si="9"/>
        <v>304.8298580858231</v>
      </c>
      <c r="Y39" s="79">
        <f t="shared" si="9"/>
        <v>304.64809248399968</v>
      </c>
      <c r="Z39" s="79">
        <f t="shared" si="9"/>
        <v>304.50726444688797</v>
      </c>
    </row>
    <row r="40" spans="1:26" x14ac:dyDescent="0.35">
      <c r="A40" s="2">
        <v>0.2</v>
      </c>
      <c r="B40" s="79" t="e">
        <f t="shared" si="7"/>
        <v>#NUM!</v>
      </c>
      <c r="C40" s="79">
        <f t="shared" si="7"/>
        <v>165.87425400308993</v>
      </c>
      <c r="D40" s="79">
        <f t="shared" si="7"/>
        <v>200.10318593840162</v>
      </c>
      <c r="E40" s="79">
        <f t="shared" si="7"/>
        <v>234.33308928013648</v>
      </c>
      <c r="F40" s="79">
        <f t="shared" si="7"/>
        <v>268.66112760028523</v>
      </c>
      <c r="G40" s="79">
        <f t="shared" si="9"/>
        <v>281.04559172609135</v>
      </c>
      <c r="H40" s="79">
        <f t="shared" si="9"/>
        <v>286.78118976782866</v>
      </c>
      <c r="I40" s="79">
        <f t="shared" si="9"/>
        <v>290.45656404328099</v>
      </c>
      <c r="J40" s="79">
        <f t="shared" si="9"/>
        <v>293.35866200234847</v>
      </c>
      <c r="K40" s="79">
        <f t="shared" si="9"/>
        <v>295.92065421471665</v>
      </c>
      <c r="L40" s="79">
        <f t="shared" si="9"/>
        <v>298.3815069964773</v>
      </c>
      <c r="M40" s="79">
        <f t="shared" si="9"/>
        <v>300.95277131605724</v>
      </c>
      <c r="N40" s="79">
        <f t="shared" si="9"/>
        <v>303.95441023217131</v>
      </c>
      <c r="O40" s="79">
        <f t="shared" si="9"/>
        <v>308.2645021786916</v>
      </c>
      <c r="P40" s="79" t="e">
        <f t="shared" si="9"/>
        <v>#DIV/0!</v>
      </c>
      <c r="Q40" s="79">
        <f t="shared" si="9"/>
        <v>309.75603046758425</v>
      </c>
      <c r="R40" s="79">
        <f t="shared" si="9"/>
        <v>306.96811722864862</v>
      </c>
      <c r="S40" s="79">
        <f t="shared" si="9"/>
        <v>305.55391394500549</v>
      </c>
      <c r="T40" s="79">
        <f t="shared" si="9"/>
        <v>304.67923136014304</v>
      </c>
      <c r="U40" s="79">
        <f t="shared" si="9"/>
        <v>304.08632735049673</v>
      </c>
      <c r="V40" s="79">
        <f t="shared" si="9"/>
        <v>303.66259428095407</v>
      </c>
      <c r="W40" s="79">
        <f t="shared" si="9"/>
        <v>303.34936106128106</v>
      </c>
      <c r="X40" s="79">
        <f t="shared" si="9"/>
        <v>303.11253603938883</v>
      </c>
      <c r="Y40" s="79">
        <f t="shared" si="9"/>
        <v>302.9307704375654</v>
      </c>
      <c r="Z40" s="79">
        <f t="shared" si="9"/>
        <v>302.7899424004537</v>
      </c>
    </row>
    <row r="41" spans="1:26" x14ac:dyDescent="0.35">
      <c r="A41" s="2">
        <v>0.3</v>
      </c>
      <c r="B41" s="79" t="e">
        <f t="shared" si="7"/>
        <v>#NUM!</v>
      </c>
      <c r="C41" s="79">
        <f t="shared" si="7"/>
        <v>164.86968500426417</v>
      </c>
      <c r="D41" s="79">
        <f t="shared" si="7"/>
        <v>199.09861693957586</v>
      </c>
      <c r="E41" s="79">
        <f t="shared" si="7"/>
        <v>233.32852028131072</v>
      </c>
      <c r="F41" s="79">
        <f t="shared" si="7"/>
        <v>267.65655860145944</v>
      </c>
      <c r="G41" s="79">
        <f t="shared" si="9"/>
        <v>280.04102272726561</v>
      </c>
      <c r="H41" s="79">
        <f t="shared" si="9"/>
        <v>285.77662076900288</v>
      </c>
      <c r="I41" s="79">
        <f t="shared" si="9"/>
        <v>289.45199504445526</v>
      </c>
      <c r="J41" s="79">
        <f t="shared" si="9"/>
        <v>292.35409300352268</v>
      </c>
      <c r="K41" s="79">
        <f t="shared" si="9"/>
        <v>294.91608521589086</v>
      </c>
      <c r="L41" s="79">
        <f t="shared" si="9"/>
        <v>297.37693799765151</v>
      </c>
      <c r="M41" s="79">
        <f t="shared" si="9"/>
        <v>299.94820231723145</v>
      </c>
      <c r="N41" s="79">
        <f t="shared" si="9"/>
        <v>302.94984123334558</v>
      </c>
      <c r="O41" s="79">
        <f t="shared" si="9"/>
        <v>307.25993317986587</v>
      </c>
      <c r="P41" s="79" t="e">
        <f t="shared" si="9"/>
        <v>#DIV/0!</v>
      </c>
      <c r="Q41" s="79">
        <f t="shared" si="9"/>
        <v>308.75146146875852</v>
      </c>
      <c r="R41" s="79">
        <f t="shared" si="9"/>
        <v>305.96354822982283</v>
      </c>
      <c r="S41" s="79">
        <f t="shared" si="9"/>
        <v>304.5493449461797</v>
      </c>
      <c r="T41" s="79">
        <f t="shared" si="9"/>
        <v>303.67466236131725</v>
      </c>
      <c r="U41" s="79">
        <f t="shared" si="9"/>
        <v>303.08175835167094</v>
      </c>
      <c r="V41" s="79">
        <f t="shared" si="9"/>
        <v>302.65802528212828</v>
      </c>
      <c r="W41" s="79">
        <f t="shared" si="9"/>
        <v>302.34479206245533</v>
      </c>
      <c r="X41" s="79">
        <f t="shared" si="9"/>
        <v>302.10796704056304</v>
      </c>
      <c r="Y41" s="79">
        <f t="shared" si="9"/>
        <v>301.92620143873967</v>
      </c>
      <c r="Z41" s="79">
        <f t="shared" si="9"/>
        <v>301.78537340162791</v>
      </c>
    </row>
    <row r="42" spans="1:26" x14ac:dyDescent="0.35">
      <c r="A42" s="2">
        <v>0.4</v>
      </c>
      <c r="B42" s="79" t="e">
        <f t="shared" si="7"/>
        <v>#NUM!</v>
      </c>
      <c r="C42" s="79">
        <f t="shared" si="7"/>
        <v>164.15693195665568</v>
      </c>
      <c r="D42" s="79">
        <f t="shared" si="7"/>
        <v>198.38586389196735</v>
      </c>
      <c r="E42" s="79">
        <f t="shared" si="7"/>
        <v>232.6157672337022</v>
      </c>
      <c r="F42" s="79">
        <f t="shared" si="7"/>
        <v>266.94380555385095</v>
      </c>
      <c r="G42" s="79">
        <f t="shared" si="9"/>
        <v>279.32826967965707</v>
      </c>
      <c r="H42" s="79">
        <f t="shared" si="9"/>
        <v>285.06386772139439</v>
      </c>
      <c r="I42" s="79">
        <f t="shared" si="9"/>
        <v>288.73924199684672</v>
      </c>
      <c r="J42" s="79">
        <f t="shared" si="9"/>
        <v>291.64133995591419</v>
      </c>
      <c r="K42" s="79">
        <f t="shared" si="9"/>
        <v>294.20333216828237</v>
      </c>
      <c r="L42" s="79">
        <f t="shared" si="9"/>
        <v>296.66418495004302</v>
      </c>
      <c r="M42" s="79">
        <f t="shared" si="9"/>
        <v>299.23544926962296</v>
      </c>
      <c r="N42" s="79">
        <f t="shared" si="9"/>
        <v>302.23708818573704</v>
      </c>
      <c r="O42" s="79">
        <f t="shared" si="9"/>
        <v>306.54718013225732</v>
      </c>
      <c r="P42" s="79" t="e">
        <f t="shared" si="9"/>
        <v>#DIV/0!</v>
      </c>
      <c r="Q42" s="79">
        <f t="shared" si="9"/>
        <v>308.03870842114998</v>
      </c>
      <c r="R42" s="79">
        <f t="shared" si="9"/>
        <v>305.25079518221435</v>
      </c>
      <c r="S42" s="79">
        <f t="shared" si="9"/>
        <v>303.83659189857121</v>
      </c>
      <c r="T42" s="79">
        <f t="shared" si="9"/>
        <v>302.96190931370876</v>
      </c>
      <c r="U42" s="79">
        <f t="shared" si="9"/>
        <v>302.36900530406245</v>
      </c>
      <c r="V42" s="79">
        <f t="shared" si="9"/>
        <v>301.94527223451979</v>
      </c>
      <c r="W42" s="79">
        <f t="shared" si="9"/>
        <v>301.63203901484678</v>
      </c>
      <c r="X42" s="79">
        <f t="shared" si="9"/>
        <v>301.39521399295455</v>
      </c>
      <c r="Y42" s="79">
        <f t="shared" si="9"/>
        <v>301.21344839113118</v>
      </c>
      <c r="Z42" s="79">
        <f t="shared" si="9"/>
        <v>301.07262035401942</v>
      </c>
    </row>
    <row r="43" spans="1:26" x14ac:dyDescent="0.35">
      <c r="A43" s="2">
        <v>0.5</v>
      </c>
      <c r="B43" s="79" t="e">
        <f t="shared" si="7"/>
        <v>#NUM!</v>
      </c>
      <c r="C43" s="79">
        <f t="shared" si="7"/>
        <v>163.60407774193902</v>
      </c>
      <c r="D43" s="79">
        <f t="shared" si="7"/>
        <v>197.83300967725069</v>
      </c>
      <c r="E43" s="79">
        <f t="shared" si="7"/>
        <v>232.06291301898557</v>
      </c>
      <c r="F43" s="79">
        <f t="shared" si="7"/>
        <v>266.39095133913429</v>
      </c>
      <c r="G43" s="79">
        <f t="shared" si="9"/>
        <v>278.77541546494047</v>
      </c>
      <c r="H43" s="79">
        <f t="shared" si="9"/>
        <v>284.51101350667773</v>
      </c>
      <c r="I43" s="79">
        <f t="shared" si="9"/>
        <v>288.18638778213005</v>
      </c>
      <c r="J43" s="79">
        <f t="shared" si="9"/>
        <v>291.08848574119753</v>
      </c>
      <c r="K43" s="79">
        <f t="shared" si="9"/>
        <v>293.65047795356571</v>
      </c>
      <c r="L43" s="79">
        <f t="shared" si="9"/>
        <v>296.11133073532636</v>
      </c>
      <c r="M43" s="79">
        <f t="shared" si="9"/>
        <v>298.6825950549063</v>
      </c>
      <c r="N43" s="79">
        <f t="shared" si="9"/>
        <v>301.68423397102038</v>
      </c>
      <c r="O43" s="79">
        <f t="shared" si="9"/>
        <v>305.99432591754072</v>
      </c>
      <c r="P43" s="79" t="e">
        <f t="shared" si="9"/>
        <v>#DIV/0!</v>
      </c>
      <c r="Q43" s="79">
        <f t="shared" si="9"/>
        <v>307.48585420643337</v>
      </c>
      <c r="R43" s="79">
        <f t="shared" si="9"/>
        <v>304.69794096749769</v>
      </c>
      <c r="S43" s="79">
        <f t="shared" si="9"/>
        <v>303.28373768385455</v>
      </c>
      <c r="T43" s="79">
        <f t="shared" si="9"/>
        <v>302.4090550989921</v>
      </c>
      <c r="U43" s="79">
        <f t="shared" si="9"/>
        <v>301.81615108934579</v>
      </c>
      <c r="V43" s="79">
        <f t="shared" si="9"/>
        <v>301.39241801980313</v>
      </c>
      <c r="W43" s="79">
        <f t="shared" si="9"/>
        <v>301.07918480013012</v>
      </c>
      <c r="X43" s="79">
        <f t="shared" si="9"/>
        <v>300.84235977823789</v>
      </c>
      <c r="Y43" s="79">
        <f t="shared" si="9"/>
        <v>300.66059417641452</v>
      </c>
      <c r="Z43" s="79">
        <f t="shared" si="9"/>
        <v>300.51976613930276</v>
      </c>
    </row>
    <row r="44" spans="1:26" x14ac:dyDescent="0.35">
      <c r="A44" s="2">
        <v>0.6</v>
      </c>
      <c r="B44" s="79" t="e">
        <f t="shared" si="7"/>
        <v>#NUM!</v>
      </c>
      <c r="C44" s="79">
        <f t="shared" si="7"/>
        <v>163.15236295782989</v>
      </c>
      <c r="D44" s="79">
        <f t="shared" si="7"/>
        <v>197.38129489314161</v>
      </c>
      <c r="E44" s="79">
        <f t="shared" si="7"/>
        <v>231.61119823487644</v>
      </c>
      <c r="F44" s="79">
        <f t="shared" si="7"/>
        <v>265.93923655502516</v>
      </c>
      <c r="G44" s="79">
        <f t="shared" si="9"/>
        <v>278.32370068083134</v>
      </c>
      <c r="H44" s="79">
        <f t="shared" si="9"/>
        <v>284.05929872256866</v>
      </c>
      <c r="I44" s="79">
        <f t="shared" si="9"/>
        <v>287.73467299802098</v>
      </c>
      <c r="J44" s="79">
        <f t="shared" si="9"/>
        <v>290.63677095708846</v>
      </c>
      <c r="K44" s="79">
        <f t="shared" si="9"/>
        <v>293.19876316945658</v>
      </c>
      <c r="L44" s="79">
        <f t="shared" si="9"/>
        <v>295.65961595121723</v>
      </c>
      <c r="M44" s="79">
        <f t="shared" si="9"/>
        <v>298.23088027079717</v>
      </c>
      <c r="N44" s="79">
        <f t="shared" si="9"/>
        <v>301.2325191869113</v>
      </c>
      <c r="O44" s="79">
        <f t="shared" si="9"/>
        <v>305.54261113343159</v>
      </c>
      <c r="P44" s="79" t="e">
        <f t="shared" si="9"/>
        <v>#DIV/0!</v>
      </c>
      <c r="Q44" s="79">
        <f t="shared" si="9"/>
        <v>307.03413942232424</v>
      </c>
      <c r="R44" s="79">
        <f t="shared" si="9"/>
        <v>304.24622618338856</v>
      </c>
      <c r="S44" s="79">
        <f t="shared" si="9"/>
        <v>302.83202289974548</v>
      </c>
      <c r="T44" s="79">
        <f t="shared" si="9"/>
        <v>301.95734031488297</v>
      </c>
      <c r="U44" s="79">
        <f t="shared" si="9"/>
        <v>301.36443630523667</v>
      </c>
      <c r="V44" s="79">
        <f t="shared" si="9"/>
        <v>300.940703235694</v>
      </c>
      <c r="W44" s="79">
        <f t="shared" si="9"/>
        <v>300.62747001602105</v>
      </c>
      <c r="X44" s="79">
        <f t="shared" si="9"/>
        <v>300.39064499412882</v>
      </c>
      <c r="Y44" s="79">
        <f t="shared" si="9"/>
        <v>300.20887939230539</v>
      </c>
      <c r="Z44" s="79">
        <f t="shared" si="9"/>
        <v>300.06805135519369</v>
      </c>
    </row>
    <row r="45" spans="1:26" x14ac:dyDescent="0.35">
      <c r="A45" s="2">
        <v>0.7</v>
      </c>
      <c r="B45" s="79" t="e">
        <f t="shared" si="7"/>
        <v>#NUM!</v>
      </c>
      <c r="C45" s="79">
        <f t="shared" si="7"/>
        <v>162.77044354970892</v>
      </c>
      <c r="D45" s="79">
        <f t="shared" si="7"/>
        <v>196.99937548502061</v>
      </c>
      <c r="E45" s="79">
        <f t="shared" si="7"/>
        <v>231.22927882675546</v>
      </c>
      <c r="F45" s="79">
        <f t="shared" si="7"/>
        <v>265.55731714690421</v>
      </c>
      <c r="G45" s="79">
        <f t="shared" si="9"/>
        <v>277.94178127271033</v>
      </c>
      <c r="H45" s="79">
        <f t="shared" si="9"/>
        <v>283.67737931444765</v>
      </c>
      <c r="I45" s="79">
        <f t="shared" si="9"/>
        <v>287.35275358989998</v>
      </c>
      <c r="J45" s="79">
        <f t="shared" si="9"/>
        <v>290.25485154896745</v>
      </c>
      <c r="K45" s="79">
        <f t="shared" si="9"/>
        <v>292.81684376133563</v>
      </c>
      <c r="L45" s="79">
        <f t="shared" si="9"/>
        <v>295.27769654309628</v>
      </c>
      <c r="M45" s="79">
        <f t="shared" si="9"/>
        <v>297.84896086267622</v>
      </c>
      <c r="N45" s="79">
        <f t="shared" si="9"/>
        <v>300.8505997787903</v>
      </c>
      <c r="O45" s="79">
        <f t="shared" si="9"/>
        <v>305.16069172531058</v>
      </c>
      <c r="P45" s="79" t="e">
        <f t="shared" si="9"/>
        <v>#DIV/0!</v>
      </c>
      <c r="Q45" s="79">
        <f t="shared" si="9"/>
        <v>306.65222001420324</v>
      </c>
      <c r="R45" s="79">
        <f t="shared" si="9"/>
        <v>303.86430677526761</v>
      </c>
      <c r="S45" s="79">
        <f t="shared" si="9"/>
        <v>302.45010349162447</v>
      </c>
      <c r="T45" s="79">
        <f t="shared" si="9"/>
        <v>301.57542090676202</v>
      </c>
      <c r="U45" s="79">
        <f t="shared" si="9"/>
        <v>300.98251689711572</v>
      </c>
      <c r="V45" s="79">
        <f t="shared" si="9"/>
        <v>300.55878382757305</v>
      </c>
      <c r="W45" s="79">
        <f t="shared" si="9"/>
        <v>300.24555060790004</v>
      </c>
      <c r="X45" s="79">
        <f t="shared" si="9"/>
        <v>300.00872558600781</v>
      </c>
      <c r="Y45" s="79">
        <f t="shared" si="9"/>
        <v>299.82695998418444</v>
      </c>
      <c r="Z45" s="79">
        <f t="shared" si="9"/>
        <v>299.68613194707268</v>
      </c>
    </row>
    <row r="46" spans="1:26" x14ac:dyDescent="0.35">
      <c r="A46" s="2">
        <v>0.8</v>
      </c>
      <c r="B46" s="79" t="e">
        <f t="shared" si="7"/>
        <v>#NUM!</v>
      </c>
      <c r="C46" s="79">
        <f t="shared" si="7"/>
        <v>162.43960991022141</v>
      </c>
      <c r="D46" s="79">
        <f t="shared" si="7"/>
        <v>196.6685418455331</v>
      </c>
      <c r="E46" s="79">
        <f t="shared" si="7"/>
        <v>230.89844518726795</v>
      </c>
      <c r="F46" s="79">
        <f t="shared" si="7"/>
        <v>265.22648350741667</v>
      </c>
      <c r="G46" s="79">
        <f t="shared" si="9"/>
        <v>277.61094763322285</v>
      </c>
      <c r="H46" s="79">
        <f t="shared" si="9"/>
        <v>283.34654567496011</v>
      </c>
      <c r="I46" s="79">
        <f t="shared" si="9"/>
        <v>287.02191995041244</v>
      </c>
      <c r="J46" s="79">
        <f t="shared" si="9"/>
        <v>289.92401790947991</v>
      </c>
      <c r="K46" s="79">
        <f t="shared" si="9"/>
        <v>292.4860101218481</v>
      </c>
      <c r="L46" s="79">
        <f t="shared" si="9"/>
        <v>294.94686290360875</v>
      </c>
      <c r="M46" s="79">
        <f t="shared" si="9"/>
        <v>297.51812722318869</v>
      </c>
      <c r="N46" s="79">
        <f t="shared" si="9"/>
        <v>300.51976613930276</v>
      </c>
      <c r="O46" s="79">
        <f t="shared" si="9"/>
        <v>304.8298580858231</v>
      </c>
      <c r="P46" s="79" t="e">
        <f t="shared" si="9"/>
        <v>#DIV/0!</v>
      </c>
      <c r="Q46" s="79">
        <f t="shared" si="9"/>
        <v>306.32138637471576</v>
      </c>
      <c r="R46" s="79">
        <f t="shared" si="9"/>
        <v>303.53347313578007</v>
      </c>
      <c r="S46" s="79">
        <f t="shared" si="9"/>
        <v>302.11926985213694</v>
      </c>
      <c r="T46" s="79">
        <f t="shared" si="9"/>
        <v>301.24458726727448</v>
      </c>
      <c r="U46" s="79">
        <f t="shared" si="9"/>
        <v>300.65168325762818</v>
      </c>
      <c r="V46" s="79">
        <f t="shared" si="9"/>
        <v>300.22795018808552</v>
      </c>
      <c r="W46" s="79">
        <f t="shared" si="9"/>
        <v>299.91471696841251</v>
      </c>
      <c r="X46" s="79">
        <f t="shared" si="9"/>
        <v>299.67789194652028</v>
      </c>
      <c r="Y46" s="79">
        <f t="shared" si="9"/>
        <v>299.4961263446969</v>
      </c>
      <c r="Z46" s="79">
        <f t="shared" si="9"/>
        <v>299.35529830758514</v>
      </c>
    </row>
    <row r="47" spans="1:26" x14ac:dyDescent="0.35">
      <c r="A47" s="2">
        <v>0.9</v>
      </c>
      <c r="B47" s="79" t="e">
        <f t="shared" si="7"/>
        <v>#NUM!</v>
      </c>
      <c r="C47" s="79">
        <f t="shared" si="7"/>
        <v>162.14779395900413</v>
      </c>
      <c r="D47" s="79">
        <f t="shared" si="7"/>
        <v>196.37672589431583</v>
      </c>
      <c r="E47" s="79">
        <f t="shared" si="7"/>
        <v>230.60662923605068</v>
      </c>
      <c r="F47" s="79">
        <f t="shared" si="7"/>
        <v>264.93466755619943</v>
      </c>
      <c r="G47" s="79">
        <f t="shared" si="9"/>
        <v>277.31913168200555</v>
      </c>
      <c r="H47" s="79">
        <f t="shared" si="9"/>
        <v>283.05472972374287</v>
      </c>
      <c r="I47" s="79">
        <f t="shared" si="9"/>
        <v>286.73010399919519</v>
      </c>
      <c r="J47" s="79">
        <f t="shared" si="9"/>
        <v>289.63220195826267</v>
      </c>
      <c r="K47" s="79">
        <f t="shared" si="9"/>
        <v>292.19419417063085</v>
      </c>
      <c r="L47" s="79">
        <f t="shared" si="9"/>
        <v>294.6550469523915</v>
      </c>
      <c r="M47" s="79">
        <f t="shared" si="9"/>
        <v>297.22631127197144</v>
      </c>
      <c r="N47" s="79">
        <f t="shared" si="9"/>
        <v>300.22795018808552</v>
      </c>
      <c r="O47" s="79">
        <f t="shared" si="9"/>
        <v>304.5380421346058</v>
      </c>
      <c r="P47" s="79" t="e">
        <f t="shared" si="9"/>
        <v>#DIV/0!</v>
      </c>
      <c r="Q47" s="79">
        <f t="shared" si="9"/>
        <v>306.02957042349846</v>
      </c>
      <c r="R47" s="79">
        <f t="shared" si="9"/>
        <v>303.24165718456283</v>
      </c>
      <c r="S47" s="79">
        <f t="shared" si="9"/>
        <v>301.82745390091969</v>
      </c>
      <c r="T47" s="79">
        <f t="shared" si="9"/>
        <v>300.95277131605724</v>
      </c>
      <c r="U47" s="79">
        <f t="shared" si="9"/>
        <v>300.35986730641093</v>
      </c>
      <c r="V47" s="79">
        <f t="shared" si="9"/>
        <v>299.93613423686827</v>
      </c>
      <c r="W47" s="79">
        <f t="shared" si="9"/>
        <v>299.62290101719526</v>
      </c>
      <c r="X47" s="79">
        <f t="shared" si="9"/>
        <v>299.38607599530303</v>
      </c>
      <c r="Y47" s="79">
        <f t="shared" si="9"/>
        <v>299.20431039347966</v>
      </c>
      <c r="Z47" s="79">
        <f t="shared" si="9"/>
        <v>299.0634823563679</v>
      </c>
    </row>
    <row r="48" spans="1:26" x14ac:dyDescent="0.35">
      <c r="A48" s="2">
        <v>1</v>
      </c>
      <c r="B48" s="79" t="e">
        <f t="shared" si="7"/>
        <v>#NUM!</v>
      </c>
      <c r="C48" s="79">
        <f t="shared" si="7"/>
        <v>161.88675569550475</v>
      </c>
      <c r="D48" s="79">
        <f t="shared" si="7"/>
        <v>196.11568763081647</v>
      </c>
      <c r="E48" s="79">
        <f t="shared" si="7"/>
        <v>230.34559097255129</v>
      </c>
      <c r="F48" s="79">
        <f t="shared" si="7"/>
        <v>264.67362929270001</v>
      </c>
      <c r="G48" s="79">
        <f t="shared" si="9"/>
        <v>277.05809341850619</v>
      </c>
      <c r="H48" s="79">
        <f t="shared" si="9"/>
        <v>282.79369146024351</v>
      </c>
      <c r="I48" s="79">
        <f t="shared" si="9"/>
        <v>286.46906573569584</v>
      </c>
      <c r="J48" s="79">
        <f t="shared" si="9"/>
        <v>289.37116369476331</v>
      </c>
      <c r="K48" s="79">
        <f t="shared" si="9"/>
        <v>291.93315590713144</v>
      </c>
      <c r="L48" s="79">
        <f t="shared" si="9"/>
        <v>294.39400868889209</v>
      </c>
      <c r="M48" s="79">
        <f t="shared" si="9"/>
        <v>296.96527300847202</v>
      </c>
      <c r="N48" s="79">
        <f t="shared" si="9"/>
        <v>299.96691192458616</v>
      </c>
      <c r="O48" s="79">
        <f t="shared" si="9"/>
        <v>304.27700387110644</v>
      </c>
      <c r="P48" s="79" t="e">
        <f t="shared" si="9"/>
        <v>#DIV/0!</v>
      </c>
      <c r="Q48" s="79">
        <f t="shared" si="9"/>
        <v>305.7685321599991</v>
      </c>
      <c r="R48" s="79">
        <f t="shared" si="9"/>
        <v>302.98061892106341</v>
      </c>
      <c r="S48" s="79">
        <f t="shared" si="9"/>
        <v>301.56641563742033</v>
      </c>
      <c r="T48" s="79">
        <f t="shared" si="9"/>
        <v>300.69173305255782</v>
      </c>
      <c r="U48" s="79">
        <f t="shared" si="9"/>
        <v>300.09882904291152</v>
      </c>
      <c r="V48" s="79">
        <f t="shared" si="9"/>
        <v>299.67509597336885</v>
      </c>
      <c r="W48" s="79">
        <f t="shared" si="9"/>
        <v>299.3618627536959</v>
      </c>
      <c r="X48" s="79">
        <f t="shared" si="9"/>
        <v>299.12503773180362</v>
      </c>
      <c r="Y48" s="79">
        <f t="shared" si="9"/>
        <v>298.94327212998024</v>
      </c>
      <c r="Z48" s="79">
        <f t="shared" si="9"/>
        <v>298.80244409286854</v>
      </c>
    </row>
    <row r="49" spans="1:26" x14ac:dyDescent="0.35">
      <c r="A49" s="2"/>
      <c r="C49" s="2"/>
      <c r="H49" s="2"/>
      <c r="J49" s="2"/>
      <c r="L49" s="2"/>
      <c r="N49" s="2"/>
      <c r="P49" s="2"/>
      <c r="R49" s="2"/>
      <c r="T49" s="2"/>
      <c r="V49" s="2"/>
      <c r="X49" s="2"/>
      <c r="Z49" s="2"/>
    </row>
    <row r="50" spans="1:26" x14ac:dyDescent="0.35">
      <c r="A50" s="2"/>
      <c r="C50" s="2"/>
      <c r="H50" s="2"/>
      <c r="J50" s="2"/>
      <c r="L50" s="2"/>
      <c r="N50" s="2"/>
      <c r="P50" s="2"/>
      <c r="R50" s="2"/>
      <c r="T50" s="2"/>
      <c r="V50" s="2"/>
      <c r="X50" s="2"/>
      <c r="Z50" s="2"/>
    </row>
    <row r="51" spans="1:26" x14ac:dyDescent="0.35">
      <c r="A51" s="2"/>
      <c r="C51" s="93" t="s">
        <v>178</v>
      </c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81"/>
      <c r="T51" s="2"/>
      <c r="V51" s="2"/>
      <c r="X51" s="2"/>
      <c r="Z51" s="2"/>
    </row>
    <row r="52" spans="1:26" x14ac:dyDescent="0.35">
      <c r="A52" s="2" t="s">
        <v>199</v>
      </c>
      <c r="C52" s="93" t="s">
        <v>180</v>
      </c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81"/>
      <c r="T52" s="2"/>
      <c r="V52" s="2"/>
      <c r="X52" s="2"/>
      <c r="Z52" s="2"/>
    </row>
    <row r="53" spans="1:26" x14ac:dyDescent="0.35">
      <c r="A53" s="2" t="s">
        <v>179</v>
      </c>
      <c r="B53" s="2">
        <v>0</v>
      </c>
      <c r="C53" s="2">
        <v>1E-8</v>
      </c>
      <c r="D53" s="2">
        <v>9.9999999999999995E-7</v>
      </c>
      <c r="E53" s="2">
        <v>1E-4</v>
      </c>
      <c r="F53" s="2">
        <v>0.01</v>
      </c>
      <c r="G53" s="2">
        <v>0.05</v>
      </c>
      <c r="H53" s="2">
        <v>0.1</v>
      </c>
      <c r="I53" s="2">
        <v>0.15</v>
      </c>
      <c r="J53" s="2">
        <v>0.2</v>
      </c>
      <c r="K53" s="2">
        <v>0.25</v>
      </c>
      <c r="L53" s="2">
        <v>0.3</v>
      </c>
      <c r="M53" s="2">
        <v>0.35</v>
      </c>
      <c r="N53" s="2">
        <v>0.4</v>
      </c>
      <c r="O53" s="2">
        <v>0.45</v>
      </c>
      <c r="P53" s="2">
        <v>0.5</v>
      </c>
      <c r="Q53" s="2">
        <v>0.55000000000000004</v>
      </c>
      <c r="R53" s="2">
        <v>0.6</v>
      </c>
      <c r="S53" s="2">
        <v>0.65</v>
      </c>
      <c r="T53" s="2">
        <v>0.7</v>
      </c>
      <c r="U53" s="2">
        <v>0.75</v>
      </c>
      <c r="V53" s="2">
        <v>0.8</v>
      </c>
      <c r="W53" s="2">
        <v>0.85</v>
      </c>
      <c r="X53" s="2">
        <v>0.9</v>
      </c>
      <c r="Y53" s="2">
        <v>0.95</v>
      </c>
      <c r="Z53" s="2">
        <v>1</v>
      </c>
    </row>
    <row r="54" spans="1:26" x14ac:dyDescent="0.35">
      <c r="A54" s="2">
        <v>0</v>
      </c>
      <c r="B54" s="79" t="e">
        <f>295.3678+0.008314*298*LN((B$36*(3*B$36)^(3))/($A54*(1-3*B$36)^(3)))</f>
        <v>#DIV/0!</v>
      </c>
      <c r="C54" s="79" t="e">
        <f>295.3678+0.008314*298*LN((C$36*(3*C$36)^(3))/($A54*(1-3*C$36)^(3)))</f>
        <v>#DIV/0!</v>
      </c>
      <c r="D54" s="79" t="e">
        <f t="shared" ref="D54:F54" si="11">295.3678+0.008314*298*LN((D$36*(3*D$36)^(3))/($A54*(1-3*D$36)^(3)))</f>
        <v>#DIV/0!</v>
      </c>
      <c r="E54" s="79" t="e">
        <f t="shared" si="11"/>
        <v>#DIV/0!</v>
      </c>
      <c r="F54" s="79" t="e">
        <f t="shared" si="11"/>
        <v>#DIV/0!</v>
      </c>
      <c r="G54" s="79" t="e">
        <f t="shared" ref="G54:Y58" si="12">295.3678+0.008314*298*LN((G$36*(3*G$36)^(3))/($A54*(1-3*G$36)^(3)))</f>
        <v>#DIV/0!</v>
      </c>
      <c r="H54" s="79" t="e">
        <f t="shared" si="12"/>
        <v>#DIV/0!</v>
      </c>
      <c r="I54" s="79" t="e">
        <f t="shared" si="12"/>
        <v>#DIV/0!</v>
      </c>
      <c r="J54" s="79" t="e">
        <f t="shared" si="12"/>
        <v>#DIV/0!</v>
      </c>
      <c r="K54" s="79" t="e">
        <f t="shared" si="12"/>
        <v>#DIV/0!</v>
      </c>
      <c r="L54" s="79" t="e">
        <f t="shared" si="12"/>
        <v>#DIV/0!</v>
      </c>
      <c r="M54" s="79" t="e">
        <f t="shared" si="12"/>
        <v>#DIV/0!</v>
      </c>
      <c r="N54" s="79" t="e">
        <f t="shared" si="12"/>
        <v>#DIV/0!</v>
      </c>
      <c r="O54" s="79" t="e">
        <f t="shared" si="12"/>
        <v>#DIV/0!</v>
      </c>
      <c r="P54" s="79" t="e">
        <f t="shared" si="12"/>
        <v>#DIV/0!</v>
      </c>
      <c r="Q54" s="79" t="e">
        <f t="shared" si="12"/>
        <v>#DIV/0!</v>
      </c>
      <c r="R54" s="79" t="e">
        <f t="shared" si="12"/>
        <v>#DIV/0!</v>
      </c>
      <c r="S54" s="79" t="e">
        <f t="shared" si="12"/>
        <v>#DIV/0!</v>
      </c>
      <c r="T54" s="79" t="e">
        <f t="shared" si="12"/>
        <v>#DIV/0!</v>
      </c>
      <c r="U54" s="79" t="e">
        <f t="shared" si="12"/>
        <v>#DIV/0!</v>
      </c>
      <c r="V54" s="79" t="e">
        <f t="shared" si="12"/>
        <v>#DIV/0!</v>
      </c>
      <c r="W54" s="79" t="e">
        <f t="shared" si="12"/>
        <v>#DIV/0!</v>
      </c>
      <c r="X54" s="79" t="e">
        <f t="shared" si="12"/>
        <v>#DIV/0!</v>
      </c>
      <c r="Y54" s="79" t="e">
        <f t="shared" si="12"/>
        <v>#DIV/0!</v>
      </c>
      <c r="Z54" s="79" t="e">
        <f t="shared" ref="Z54" si="13">295.3678+0.008314*298*LN(($C$36*(3*$C$36)^(3))/($A54*(1-3*$C$36)^(3)))</f>
        <v>#DIV/0!</v>
      </c>
    </row>
    <row r="55" spans="1:26" s="2" customFormat="1" x14ac:dyDescent="0.35">
      <c r="A55" s="2">
        <v>1.0000000000000001E-5</v>
      </c>
      <c r="B55" s="79"/>
      <c r="C55" s="79">
        <f t="shared" ref="C55:Q55" si="14">295.3678+0.008314*298*LN((C$36*(3*C$36)^(3))/($A55*(1-3*C$36)^(3)))</f>
        <v>149.50332380023659</v>
      </c>
      <c r="D55" s="79">
        <f t="shared" si="14"/>
        <v>195.14190870759211</v>
      </c>
      <c r="E55" s="79">
        <f t="shared" si="14"/>
        <v>240.78267939090532</v>
      </c>
      <c r="F55" s="79">
        <f t="shared" si="14"/>
        <v>286.64540671254065</v>
      </c>
      <c r="G55" s="79">
        <f t="shared" si="14"/>
        <v>303.57696235164343</v>
      </c>
      <c r="H55" s="79">
        <f t="shared" si="14"/>
        <v>311.88935705241204</v>
      </c>
      <c r="I55" s="79">
        <f t="shared" si="14"/>
        <v>317.70012212601085</v>
      </c>
      <c r="J55" s="79">
        <f t="shared" si="14"/>
        <v>322.9181104589893</v>
      </c>
      <c r="K55" s="79">
        <f t="shared" si="14"/>
        <v>328.62293081300874</v>
      </c>
      <c r="L55" s="79">
        <f t="shared" si="14"/>
        <v>337.24031873289795</v>
      </c>
      <c r="M55" s="79" t="e">
        <f t="shared" si="14"/>
        <v>#NUM!</v>
      </c>
      <c r="N55" s="79" t="e">
        <f t="shared" si="14"/>
        <v>#NUM!</v>
      </c>
      <c r="O55" s="79" t="e">
        <f t="shared" si="14"/>
        <v>#NUM!</v>
      </c>
      <c r="P55" s="79" t="e">
        <f t="shared" si="14"/>
        <v>#NUM!</v>
      </c>
      <c r="Q55" s="79" t="e">
        <f t="shared" si="14"/>
        <v>#NUM!</v>
      </c>
      <c r="R55" s="79" t="e">
        <f t="shared" si="12"/>
        <v>#NUM!</v>
      </c>
      <c r="S55" s="79" t="e">
        <f t="shared" si="12"/>
        <v>#NUM!</v>
      </c>
      <c r="T55" s="79" t="e">
        <f t="shared" si="12"/>
        <v>#NUM!</v>
      </c>
      <c r="U55" s="79" t="e">
        <f t="shared" si="12"/>
        <v>#NUM!</v>
      </c>
      <c r="V55" s="79" t="e">
        <f t="shared" si="12"/>
        <v>#NUM!</v>
      </c>
      <c r="W55" s="79" t="e">
        <f t="shared" si="12"/>
        <v>#NUM!</v>
      </c>
      <c r="X55" s="79" t="e">
        <f t="shared" si="12"/>
        <v>#NUM!</v>
      </c>
      <c r="Y55" s="79" t="e">
        <f t="shared" si="12"/>
        <v>#NUM!</v>
      </c>
      <c r="Z55" s="79" t="e">
        <f t="shared" ref="Z55" si="15">295.3678+0.008314*298*LN((Z$36*(3*Z$36)^(3))/($A55*(1-3*Z$36)^(3)))</f>
        <v>#NUM!</v>
      </c>
    </row>
    <row r="56" spans="1:26" x14ac:dyDescent="0.35">
      <c r="A56" s="2">
        <v>0.1</v>
      </c>
      <c r="B56" s="79" t="e">
        <f t="shared" ref="B56:F65" si="16">295.3678+0.008314*298*LN((B$36*(3*B$36)^(3))/($A56*(1-3*B$36)^(3)))</f>
        <v>#NUM!</v>
      </c>
      <c r="C56" s="79">
        <f t="shared" si="16"/>
        <v>126.6840423841588</v>
      </c>
      <c r="D56" s="79">
        <f t="shared" si="16"/>
        <v>172.32262729151432</v>
      </c>
      <c r="E56" s="79">
        <f t="shared" si="16"/>
        <v>217.96339797482756</v>
      </c>
      <c r="F56" s="79">
        <f t="shared" si="16"/>
        <v>263.82612529646286</v>
      </c>
      <c r="G56" s="79">
        <f t="shared" si="12"/>
        <v>280.75768093556565</v>
      </c>
      <c r="H56" s="79">
        <f t="shared" si="12"/>
        <v>289.07007563633425</v>
      </c>
      <c r="I56" s="79">
        <f t="shared" si="12"/>
        <v>294.88084070993307</v>
      </c>
      <c r="J56" s="79">
        <f t="shared" si="12"/>
        <v>300.09882904291152</v>
      </c>
      <c r="K56" s="79">
        <f t="shared" si="12"/>
        <v>305.80364939693101</v>
      </c>
      <c r="L56" s="79">
        <f t="shared" si="12"/>
        <v>314.42103731682016</v>
      </c>
      <c r="M56" s="79" t="e">
        <f t="shared" si="12"/>
        <v>#NUM!</v>
      </c>
      <c r="N56" s="79" t="e">
        <f t="shared" si="12"/>
        <v>#NUM!</v>
      </c>
      <c r="O56" s="79" t="e">
        <f t="shared" si="12"/>
        <v>#NUM!</v>
      </c>
      <c r="P56" s="79" t="e">
        <f t="shared" si="12"/>
        <v>#NUM!</v>
      </c>
      <c r="Q56" s="79" t="e">
        <f t="shared" si="12"/>
        <v>#NUM!</v>
      </c>
      <c r="R56" s="79" t="e">
        <f t="shared" si="12"/>
        <v>#NUM!</v>
      </c>
      <c r="S56" s="79" t="e">
        <f t="shared" si="12"/>
        <v>#NUM!</v>
      </c>
      <c r="T56" s="79" t="e">
        <f t="shared" si="12"/>
        <v>#NUM!</v>
      </c>
      <c r="U56" s="79" t="e">
        <f t="shared" si="12"/>
        <v>#NUM!</v>
      </c>
      <c r="V56" s="79" t="e">
        <f t="shared" si="12"/>
        <v>#NUM!</v>
      </c>
      <c r="W56" s="79" t="e">
        <f t="shared" si="12"/>
        <v>#NUM!</v>
      </c>
      <c r="X56" s="79" t="e">
        <f t="shared" si="12"/>
        <v>#NUM!</v>
      </c>
      <c r="Y56" s="79" t="e">
        <f t="shared" si="12"/>
        <v>#NUM!</v>
      </c>
      <c r="Z56" s="79" t="e">
        <f t="shared" ref="Z56" si="17">295.3678+0.008314*298*LN((Z$36*(3*Z$36)^(3))/($A56*(1-3*Z$36)^(3)))</f>
        <v>#NUM!</v>
      </c>
    </row>
    <row r="57" spans="1:26" x14ac:dyDescent="0.35">
      <c r="A57" s="2">
        <v>0.2</v>
      </c>
      <c r="B57" s="79" t="e">
        <f t="shared" si="16"/>
        <v>#NUM!</v>
      </c>
      <c r="C57" s="79">
        <f t="shared" si="16"/>
        <v>124.96672033772455</v>
      </c>
      <c r="D57" s="79">
        <f t="shared" si="16"/>
        <v>170.60530524508005</v>
      </c>
      <c r="E57" s="79">
        <f t="shared" si="16"/>
        <v>216.24607592839328</v>
      </c>
      <c r="F57" s="79">
        <f t="shared" si="16"/>
        <v>262.10880325002859</v>
      </c>
      <c r="G57" s="79">
        <f t="shared" ref="G57:U58" si="18">295.3678+0.008314*298*LN((G$36*(3*G$36)^(3))/($A57*(1-3*G$36)^(3)))</f>
        <v>279.04035888913143</v>
      </c>
      <c r="H57" s="79">
        <f t="shared" si="18"/>
        <v>287.35275358989998</v>
      </c>
      <c r="I57" s="79">
        <f t="shared" si="18"/>
        <v>293.16351866349885</v>
      </c>
      <c r="J57" s="79">
        <f t="shared" si="18"/>
        <v>298.3815069964773</v>
      </c>
      <c r="K57" s="79">
        <f t="shared" si="18"/>
        <v>304.08632735049673</v>
      </c>
      <c r="L57" s="79">
        <f t="shared" si="18"/>
        <v>312.70371527038589</v>
      </c>
      <c r="M57" s="79" t="e">
        <f t="shared" si="18"/>
        <v>#NUM!</v>
      </c>
      <c r="N57" s="79" t="e">
        <f t="shared" si="18"/>
        <v>#NUM!</v>
      </c>
      <c r="O57" s="79" t="e">
        <f t="shared" si="18"/>
        <v>#NUM!</v>
      </c>
      <c r="P57" s="79" t="e">
        <f t="shared" si="18"/>
        <v>#NUM!</v>
      </c>
      <c r="Q57" s="79" t="e">
        <f t="shared" si="18"/>
        <v>#NUM!</v>
      </c>
      <c r="R57" s="79" t="e">
        <f t="shared" si="18"/>
        <v>#NUM!</v>
      </c>
      <c r="S57" s="79" t="e">
        <f t="shared" si="18"/>
        <v>#NUM!</v>
      </c>
      <c r="T57" s="79" t="e">
        <f t="shared" si="18"/>
        <v>#NUM!</v>
      </c>
      <c r="U57" s="79" t="e">
        <f t="shared" si="18"/>
        <v>#NUM!</v>
      </c>
      <c r="V57" s="79" t="e">
        <f t="shared" si="12"/>
        <v>#NUM!</v>
      </c>
      <c r="W57" s="79" t="e">
        <f t="shared" si="12"/>
        <v>#NUM!</v>
      </c>
      <c r="X57" s="79" t="e">
        <f t="shared" si="12"/>
        <v>#NUM!</v>
      </c>
      <c r="Y57" s="79" t="e">
        <f t="shared" si="12"/>
        <v>#NUM!</v>
      </c>
      <c r="Z57" s="79" t="e">
        <f t="shared" ref="G57:Z65" si="19">295.3678+0.008314*298*LN((Z$36*(3*Z$36)^(3))/($A57*(1-3*Z$36)^(3)))</f>
        <v>#NUM!</v>
      </c>
    </row>
    <row r="58" spans="1:26" x14ac:dyDescent="0.35">
      <c r="A58" s="2">
        <v>0.3</v>
      </c>
      <c r="B58" s="79" t="e">
        <f t="shared" si="16"/>
        <v>#NUM!</v>
      </c>
      <c r="C58" s="79">
        <f t="shared" si="16"/>
        <v>123.96215133889879</v>
      </c>
      <c r="D58" s="79">
        <f t="shared" si="16"/>
        <v>169.60073624625429</v>
      </c>
      <c r="E58" s="79">
        <f t="shared" si="16"/>
        <v>215.24150692956752</v>
      </c>
      <c r="F58" s="79">
        <f t="shared" si="16"/>
        <v>261.10423425120285</v>
      </c>
      <c r="G58" s="79">
        <f t="shared" si="18"/>
        <v>278.03578989030564</v>
      </c>
      <c r="H58" s="79">
        <f t="shared" si="18"/>
        <v>286.34818459107424</v>
      </c>
      <c r="I58" s="79">
        <f t="shared" si="18"/>
        <v>292.15894966467306</v>
      </c>
      <c r="J58" s="79">
        <f t="shared" si="18"/>
        <v>297.37693799765151</v>
      </c>
      <c r="K58" s="79">
        <f t="shared" si="18"/>
        <v>303.08175835167094</v>
      </c>
      <c r="L58" s="79">
        <f t="shared" si="18"/>
        <v>311.69914627156015</v>
      </c>
      <c r="M58" s="79" t="e">
        <f t="shared" si="18"/>
        <v>#NUM!</v>
      </c>
      <c r="N58" s="79" t="e">
        <f t="shared" si="18"/>
        <v>#NUM!</v>
      </c>
      <c r="O58" s="79" t="e">
        <f t="shared" si="18"/>
        <v>#NUM!</v>
      </c>
      <c r="P58" s="79" t="e">
        <f t="shared" si="18"/>
        <v>#NUM!</v>
      </c>
      <c r="Q58" s="79" t="e">
        <f t="shared" si="18"/>
        <v>#NUM!</v>
      </c>
      <c r="R58" s="79" t="e">
        <f t="shared" si="18"/>
        <v>#NUM!</v>
      </c>
      <c r="S58" s="79" t="e">
        <f t="shared" si="18"/>
        <v>#NUM!</v>
      </c>
      <c r="T58" s="79" t="e">
        <f t="shared" si="18"/>
        <v>#NUM!</v>
      </c>
      <c r="U58" s="79" t="e">
        <f t="shared" si="18"/>
        <v>#NUM!</v>
      </c>
      <c r="V58" s="79" t="e">
        <f t="shared" si="12"/>
        <v>#NUM!</v>
      </c>
      <c r="W58" s="79" t="e">
        <f t="shared" si="12"/>
        <v>#NUM!</v>
      </c>
      <c r="X58" s="79" t="e">
        <f t="shared" si="12"/>
        <v>#NUM!</v>
      </c>
      <c r="Y58" s="79" t="e">
        <f t="shared" si="12"/>
        <v>#NUM!</v>
      </c>
      <c r="Z58" s="79" t="e">
        <f t="shared" si="19"/>
        <v>#NUM!</v>
      </c>
    </row>
    <row r="59" spans="1:26" x14ac:dyDescent="0.35">
      <c r="A59" s="2">
        <v>0.4</v>
      </c>
      <c r="B59" s="79" t="e">
        <f t="shared" si="16"/>
        <v>#NUM!</v>
      </c>
      <c r="C59" s="79">
        <f t="shared" si="16"/>
        <v>123.24939829129028</v>
      </c>
      <c r="D59" s="79">
        <f t="shared" si="16"/>
        <v>168.88798319864577</v>
      </c>
      <c r="E59" s="79">
        <f t="shared" si="16"/>
        <v>214.52875388195901</v>
      </c>
      <c r="F59" s="79">
        <f t="shared" si="16"/>
        <v>260.39148120359437</v>
      </c>
      <c r="G59" s="79">
        <f t="shared" si="19"/>
        <v>277.32303684269715</v>
      </c>
      <c r="H59" s="79">
        <f t="shared" si="19"/>
        <v>285.6354315434657</v>
      </c>
      <c r="I59" s="79">
        <f t="shared" si="19"/>
        <v>291.44619661706457</v>
      </c>
      <c r="J59" s="79">
        <f t="shared" si="19"/>
        <v>296.66418495004302</v>
      </c>
      <c r="K59" s="79">
        <f t="shared" si="19"/>
        <v>302.36900530406245</v>
      </c>
      <c r="L59" s="79">
        <f t="shared" si="19"/>
        <v>310.98639322395161</v>
      </c>
      <c r="M59" s="79" t="e">
        <f t="shared" si="19"/>
        <v>#NUM!</v>
      </c>
      <c r="N59" s="79" t="e">
        <f t="shared" si="19"/>
        <v>#NUM!</v>
      </c>
      <c r="O59" s="79" t="e">
        <f t="shared" si="19"/>
        <v>#NUM!</v>
      </c>
      <c r="P59" s="79" t="e">
        <f t="shared" si="19"/>
        <v>#NUM!</v>
      </c>
      <c r="Q59" s="79" t="e">
        <f t="shared" si="19"/>
        <v>#NUM!</v>
      </c>
      <c r="R59" s="79" t="e">
        <f t="shared" si="19"/>
        <v>#NUM!</v>
      </c>
      <c r="S59" s="79" t="e">
        <f t="shared" si="19"/>
        <v>#NUM!</v>
      </c>
      <c r="T59" s="79" t="e">
        <f t="shared" si="19"/>
        <v>#NUM!</v>
      </c>
      <c r="U59" s="79" t="e">
        <f t="shared" si="19"/>
        <v>#NUM!</v>
      </c>
      <c r="V59" s="79" t="e">
        <f t="shared" si="19"/>
        <v>#NUM!</v>
      </c>
      <c r="W59" s="79" t="e">
        <f t="shared" si="19"/>
        <v>#NUM!</v>
      </c>
      <c r="X59" s="79" t="e">
        <f t="shared" si="19"/>
        <v>#NUM!</v>
      </c>
      <c r="Y59" s="79" t="e">
        <f t="shared" si="19"/>
        <v>#NUM!</v>
      </c>
      <c r="Z59" s="79" t="e">
        <f t="shared" si="19"/>
        <v>#NUM!</v>
      </c>
    </row>
    <row r="60" spans="1:26" x14ac:dyDescent="0.35">
      <c r="A60" s="2">
        <v>0.5</v>
      </c>
      <c r="B60" s="79" t="e">
        <f t="shared" si="16"/>
        <v>#NUM!</v>
      </c>
      <c r="C60" s="79">
        <f t="shared" si="16"/>
        <v>122.69654407657362</v>
      </c>
      <c r="D60" s="79">
        <f t="shared" si="16"/>
        <v>168.33512898392914</v>
      </c>
      <c r="E60" s="79">
        <f t="shared" si="16"/>
        <v>213.97589966724237</v>
      </c>
      <c r="F60" s="79">
        <f t="shared" si="16"/>
        <v>259.83862698887771</v>
      </c>
      <c r="G60" s="79">
        <f t="shared" si="19"/>
        <v>276.77018262798049</v>
      </c>
      <c r="H60" s="79">
        <f t="shared" si="19"/>
        <v>285.0825773287491</v>
      </c>
      <c r="I60" s="79">
        <f t="shared" si="19"/>
        <v>290.89334240234791</v>
      </c>
      <c r="J60" s="79">
        <f t="shared" si="19"/>
        <v>296.11133073532636</v>
      </c>
      <c r="K60" s="79">
        <f t="shared" si="19"/>
        <v>301.81615108934579</v>
      </c>
      <c r="L60" s="79">
        <f t="shared" si="19"/>
        <v>310.43353900923501</v>
      </c>
      <c r="M60" s="79" t="e">
        <f t="shared" si="19"/>
        <v>#NUM!</v>
      </c>
      <c r="N60" s="79" t="e">
        <f t="shared" si="19"/>
        <v>#NUM!</v>
      </c>
      <c r="O60" s="79" t="e">
        <f t="shared" si="19"/>
        <v>#NUM!</v>
      </c>
      <c r="P60" s="79" t="e">
        <f t="shared" si="19"/>
        <v>#NUM!</v>
      </c>
      <c r="Q60" s="79" t="e">
        <f t="shared" si="19"/>
        <v>#NUM!</v>
      </c>
      <c r="R60" s="79" t="e">
        <f t="shared" si="19"/>
        <v>#NUM!</v>
      </c>
      <c r="S60" s="79" t="e">
        <f t="shared" si="19"/>
        <v>#NUM!</v>
      </c>
      <c r="T60" s="79" t="e">
        <f t="shared" si="19"/>
        <v>#NUM!</v>
      </c>
      <c r="U60" s="79" t="e">
        <f t="shared" si="19"/>
        <v>#NUM!</v>
      </c>
      <c r="V60" s="79" t="e">
        <f t="shared" si="19"/>
        <v>#NUM!</v>
      </c>
      <c r="W60" s="79" t="e">
        <f t="shared" si="19"/>
        <v>#NUM!</v>
      </c>
      <c r="X60" s="79" t="e">
        <f t="shared" si="19"/>
        <v>#NUM!</v>
      </c>
      <c r="Y60" s="79" t="e">
        <f t="shared" si="19"/>
        <v>#NUM!</v>
      </c>
      <c r="Z60" s="79" t="e">
        <f t="shared" si="19"/>
        <v>#NUM!</v>
      </c>
    </row>
    <row r="61" spans="1:26" x14ac:dyDescent="0.35">
      <c r="A61" s="2">
        <v>0.6</v>
      </c>
      <c r="B61" s="79" t="e">
        <f t="shared" si="16"/>
        <v>#NUM!</v>
      </c>
      <c r="C61" s="79">
        <f t="shared" si="16"/>
        <v>122.24482929246452</v>
      </c>
      <c r="D61" s="79">
        <f t="shared" si="16"/>
        <v>167.88341419982004</v>
      </c>
      <c r="E61" s="79">
        <f t="shared" si="16"/>
        <v>213.52418488313324</v>
      </c>
      <c r="F61" s="79">
        <f t="shared" si="16"/>
        <v>259.38691220476858</v>
      </c>
      <c r="G61" s="79">
        <f t="shared" si="19"/>
        <v>276.31846784387136</v>
      </c>
      <c r="H61" s="79">
        <f t="shared" si="19"/>
        <v>284.63086254463997</v>
      </c>
      <c r="I61" s="79">
        <f t="shared" si="19"/>
        <v>290.44162761823878</v>
      </c>
      <c r="J61" s="79">
        <f t="shared" si="19"/>
        <v>295.65961595121723</v>
      </c>
      <c r="K61" s="79">
        <f t="shared" si="19"/>
        <v>301.36443630523667</v>
      </c>
      <c r="L61" s="79">
        <f t="shared" si="19"/>
        <v>309.98182422512588</v>
      </c>
      <c r="M61" s="79" t="e">
        <f t="shared" si="19"/>
        <v>#NUM!</v>
      </c>
      <c r="N61" s="79" t="e">
        <f t="shared" si="19"/>
        <v>#NUM!</v>
      </c>
      <c r="O61" s="79" t="e">
        <f t="shared" si="19"/>
        <v>#NUM!</v>
      </c>
      <c r="P61" s="79" t="e">
        <f t="shared" si="19"/>
        <v>#NUM!</v>
      </c>
      <c r="Q61" s="79" t="e">
        <f t="shared" si="19"/>
        <v>#NUM!</v>
      </c>
      <c r="R61" s="79" t="e">
        <f t="shared" si="19"/>
        <v>#NUM!</v>
      </c>
      <c r="S61" s="79" t="e">
        <f t="shared" si="19"/>
        <v>#NUM!</v>
      </c>
      <c r="T61" s="79" t="e">
        <f t="shared" si="19"/>
        <v>#NUM!</v>
      </c>
      <c r="U61" s="79" t="e">
        <f t="shared" si="19"/>
        <v>#NUM!</v>
      </c>
      <c r="V61" s="79" t="e">
        <f t="shared" si="19"/>
        <v>#NUM!</v>
      </c>
      <c r="W61" s="79" t="e">
        <f t="shared" si="19"/>
        <v>#NUM!</v>
      </c>
      <c r="X61" s="79" t="e">
        <f t="shared" si="19"/>
        <v>#NUM!</v>
      </c>
      <c r="Y61" s="79" t="e">
        <f t="shared" si="19"/>
        <v>#NUM!</v>
      </c>
      <c r="Z61" s="79" t="e">
        <f t="shared" si="19"/>
        <v>#NUM!</v>
      </c>
    </row>
    <row r="62" spans="1:26" x14ac:dyDescent="0.35">
      <c r="A62" s="2">
        <v>0.7</v>
      </c>
      <c r="B62" s="79" t="e">
        <f t="shared" si="16"/>
        <v>#NUM!</v>
      </c>
      <c r="C62" s="79">
        <f t="shared" si="16"/>
        <v>121.86290988434351</v>
      </c>
      <c r="D62" s="79">
        <f t="shared" si="16"/>
        <v>167.50149479169903</v>
      </c>
      <c r="E62" s="79">
        <f t="shared" si="16"/>
        <v>213.14226547501227</v>
      </c>
      <c r="F62" s="79">
        <f t="shared" si="16"/>
        <v>259.00499279664763</v>
      </c>
      <c r="G62" s="79">
        <f t="shared" si="19"/>
        <v>275.93654843575041</v>
      </c>
      <c r="H62" s="79">
        <f t="shared" si="19"/>
        <v>284.24894313651896</v>
      </c>
      <c r="I62" s="79">
        <f t="shared" si="19"/>
        <v>290.05970821011783</v>
      </c>
      <c r="J62" s="79">
        <f t="shared" si="19"/>
        <v>295.27769654309628</v>
      </c>
      <c r="K62" s="79">
        <f t="shared" si="19"/>
        <v>300.98251689711572</v>
      </c>
      <c r="L62" s="79">
        <f t="shared" si="19"/>
        <v>309.59990481700487</v>
      </c>
      <c r="M62" s="79" t="e">
        <f t="shared" si="19"/>
        <v>#NUM!</v>
      </c>
      <c r="N62" s="79" t="e">
        <f t="shared" si="19"/>
        <v>#NUM!</v>
      </c>
      <c r="O62" s="79" t="e">
        <f t="shared" si="19"/>
        <v>#NUM!</v>
      </c>
      <c r="P62" s="79" t="e">
        <f t="shared" si="19"/>
        <v>#NUM!</v>
      </c>
      <c r="Q62" s="79" t="e">
        <f t="shared" si="19"/>
        <v>#NUM!</v>
      </c>
      <c r="R62" s="79" t="e">
        <f t="shared" si="19"/>
        <v>#NUM!</v>
      </c>
      <c r="S62" s="79" t="e">
        <f t="shared" si="19"/>
        <v>#NUM!</v>
      </c>
      <c r="T62" s="79" t="e">
        <f t="shared" si="19"/>
        <v>#NUM!</v>
      </c>
      <c r="U62" s="79" t="e">
        <f t="shared" si="19"/>
        <v>#NUM!</v>
      </c>
      <c r="V62" s="79" t="e">
        <f t="shared" si="19"/>
        <v>#NUM!</v>
      </c>
      <c r="W62" s="79" t="e">
        <f t="shared" si="19"/>
        <v>#NUM!</v>
      </c>
      <c r="X62" s="79" t="e">
        <f t="shared" si="19"/>
        <v>#NUM!</v>
      </c>
      <c r="Y62" s="79" t="e">
        <f t="shared" si="19"/>
        <v>#NUM!</v>
      </c>
      <c r="Z62" s="79" t="e">
        <f t="shared" si="19"/>
        <v>#NUM!</v>
      </c>
    </row>
    <row r="63" spans="1:26" x14ac:dyDescent="0.35">
      <c r="A63" s="2">
        <v>0.8</v>
      </c>
      <c r="B63" s="79" t="e">
        <f t="shared" si="16"/>
        <v>#NUM!</v>
      </c>
      <c r="C63" s="79">
        <f t="shared" si="16"/>
        <v>121.532076244856</v>
      </c>
      <c r="D63" s="79">
        <f t="shared" si="16"/>
        <v>167.17066115221152</v>
      </c>
      <c r="E63" s="79">
        <f t="shared" si="16"/>
        <v>212.81143183552473</v>
      </c>
      <c r="F63" s="79">
        <f t="shared" si="16"/>
        <v>258.67415915716009</v>
      </c>
      <c r="G63" s="79">
        <f t="shared" si="19"/>
        <v>275.60571479626287</v>
      </c>
      <c r="H63" s="79">
        <f t="shared" si="19"/>
        <v>283.91810949703148</v>
      </c>
      <c r="I63" s="79">
        <f t="shared" si="19"/>
        <v>289.7288745706303</v>
      </c>
      <c r="J63" s="79">
        <f t="shared" si="19"/>
        <v>294.94686290360875</v>
      </c>
      <c r="K63" s="79">
        <f t="shared" si="19"/>
        <v>300.65168325762818</v>
      </c>
      <c r="L63" s="79">
        <f t="shared" si="19"/>
        <v>309.26907117751739</v>
      </c>
      <c r="M63" s="79" t="e">
        <f t="shared" si="19"/>
        <v>#NUM!</v>
      </c>
      <c r="N63" s="79" t="e">
        <f t="shared" si="19"/>
        <v>#NUM!</v>
      </c>
      <c r="O63" s="79" t="e">
        <f t="shared" si="19"/>
        <v>#NUM!</v>
      </c>
      <c r="P63" s="79" t="e">
        <f t="shared" si="19"/>
        <v>#NUM!</v>
      </c>
      <c r="Q63" s="79" t="e">
        <f t="shared" si="19"/>
        <v>#NUM!</v>
      </c>
      <c r="R63" s="79" t="e">
        <f t="shared" si="19"/>
        <v>#NUM!</v>
      </c>
      <c r="S63" s="79" t="e">
        <f t="shared" si="19"/>
        <v>#NUM!</v>
      </c>
      <c r="T63" s="79" t="e">
        <f t="shared" si="19"/>
        <v>#NUM!</v>
      </c>
      <c r="U63" s="79" t="e">
        <f t="shared" si="19"/>
        <v>#NUM!</v>
      </c>
      <c r="V63" s="79" t="e">
        <f t="shared" si="19"/>
        <v>#NUM!</v>
      </c>
      <c r="W63" s="79" t="e">
        <f t="shared" si="19"/>
        <v>#NUM!</v>
      </c>
      <c r="X63" s="79" t="e">
        <f t="shared" si="19"/>
        <v>#NUM!</v>
      </c>
      <c r="Y63" s="79" t="e">
        <f t="shared" si="19"/>
        <v>#NUM!</v>
      </c>
      <c r="Z63" s="79" t="e">
        <f t="shared" si="19"/>
        <v>#NUM!</v>
      </c>
    </row>
    <row r="64" spans="1:26" x14ac:dyDescent="0.35">
      <c r="A64" s="2">
        <v>0.9</v>
      </c>
      <c r="B64" s="79" t="e">
        <f t="shared" si="16"/>
        <v>#NUM!</v>
      </c>
      <c r="C64" s="79">
        <f t="shared" si="16"/>
        <v>121.24026029363873</v>
      </c>
      <c r="D64" s="79">
        <f t="shared" si="16"/>
        <v>166.87884520099428</v>
      </c>
      <c r="E64" s="79">
        <f t="shared" si="16"/>
        <v>212.51961588430748</v>
      </c>
      <c r="F64" s="79">
        <f t="shared" si="16"/>
        <v>258.38234320594285</v>
      </c>
      <c r="G64" s="79">
        <f t="shared" si="19"/>
        <v>275.31389884504563</v>
      </c>
      <c r="H64" s="79">
        <f t="shared" si="19"/>
        <v>283.62629354581418</v>
      </c>
      <c r="I64" s="79">
        <f t="shared" si="19"/>
        <v>289.43705861941305</v>
      </c>
      <c r="J64" s="79">
        <f t="shared" si="19"/>
        <v>294.6550469523915</v>
      </c>
      <c r="K64" s="79">
        <f t="shared" si="19"/>
        <v>300.35986730641093</v>
      </c>
      <c r="L64" s="79">
        <f t="shared" si="19"/>
        <v>308.97725522630009</v>
      </c>
      <c r="M64" s="79" t="e">
        <f t="shared" si="19"/>
        <v>#NUM!</v>
      </c>
      <c r="N64" s="79" t="e">
        <f t="shared" si="19"/>
        <v>#NUM!</v>
      </c>
      <c r="O64" s="79" t="e">
        <f t="shared" si="19"/>
        <v>#NUM!</v>
      </c>
      <c r="P64" s="79" t="e">
        <f t="shared" si="19"/>
        <v>#NUM!</v>
      </c>
      <c r="Q64" s="79" t="e">
        <f t="shared" si="19"/>
        <v>#NUM!</v>
      </c>
      <c r="R64" s="79" t="e">
        <f t="shared" si="19"/>
        <v>#NUM!</v>
      </c>
      <c r="S64" s="79" t="e">
        <f t="shared" si="19"/>
        <v>#NUM!</v>
      </c>
      <c r="T64" s="79" t="e">
        <f t="shared" si="19"/>
        <v>#NUM!</v>
      </c>
      <c r="U64" s="79" t="e">
        <f t="shared" si="19"/>
        <v>#NUM!</v>
      </c>
      <c r="V64" s="79" t="e">
        <f t="shared" si="19"/>
        <v>#NUM!</v>
      </c>
      <c r="W64" s="79" t="e">
        <f t="shared" si="19"/>
        <v>#NUM!</v>
      </c>
      <c r="X64" s="79" t="e">
        <f t="shared" si="19"/>
        <v>#NUM!</v>
      </c>
      <c r="Y64" s="79" t="e">
        <f t="shared" si="19"/>
        <v>#NUM!</v>
      </c>
      <c r="Z64" s="79" t="e">
        <f t="shared" si="19"/>
        <v>#NUM!</v>
      </c>
    </row>
    <row r="65" spans="1:26" x14ac:dyDescent="0.35">
      <c r="A65" s="2">
        <v>1</v>
      </c>
      <c r="B65" s="79" t="e">
        <f t="shared" si="16"/>
        <v>#NUM!</v>
      </c>
      <c r="C65" s="79">
        <f t="shared" si="16"/>
        <v>120.97922203013937</v>
      </c>
      <c r="D65" s="79">
        <f t="shared" si="16"/>
        <v>166.61780693749486</v>
      </c>
      <c r="E65" s="79">
        <f t="shared" si="16"/>
        <v>212.2585776208081</v>
      </c>
      <c r="F65" s="79">
        <f t="shared" si="16"/>
        <v>258.12130494244343</v>
      </c>
      <c r="G65" s="79">
        <f t="shared" si="19"/>
        <v>275.05286058154621</v>
      </c>
      <c r="H65" s="79">
        <f t="shared" si="19"/>
        <v>283.36525528231482</v>
      </c>
      <c r="I65" s="79">
        <f t="shared" si="19"/>
        <v>289.17602035591364</v>
      </c>
      <c r="J65" s="79">
        <f t="shared" si="19"/>
        <v>294.39400868889209</v>
      </c>
      <c r="K65" s="79">
        <f t="shared" si="19"/>
        <v>300.09882904291152</v>
      </c>
      <c r="L65" s="79">
        <f t="shared" si="19"/>
        <v>308.71621696280073</v>
      </c>
      <c r="M65" s="79" t="e">
        <f t="shared" si="19"/>
        <v>#NUM!</v>
      </c>
      <c r="N65" s="79" t="e">
        <f t="shared" si="19"/>
        <v>#NUM!</v>
      </c>
      <c r="O65" s="79" t="e">
        <f t="shared" si="19"/>
        <v>#NUM!</v>
      </c>
      <c r="P65" s="79" t="e">
        <f t="shared" si="19"/>
        <v>#NUM!</v>
      </c>
      <c r="Q65" s="79" t="e">
        <f t="shared" si="19"/>
        <v>#NUM!</v>
      </c>
      <c r="R65" s="79" t="e">
        <f t="shared" si="19"/>
        <v>#NUM!</v>
      </c>
      <c r="S65" s="79" t="e">
        <f t="shared" si="19"/>
        <v>#NUM!</v>
      </c>
      <c r="T65" s="79" t="e">
        <f t="shared" si="19"/>
        <v>#NUM!</v>
      </c>
      <c r="U65" s="79" t="e">
        <f t="shared" si="19"/>
        <v>#NUM!</v>
      </c>
      <c r="V65" s="79" t="e">
        <f t="shared" si="19"/>
        <v>#NUM!</v>
      </c>
      <c r="W65" s="79" t="e">
        <f t="shared" si="19"/>
        <v>#NUM!</v>
      </c>
      <c r="X65" s="79" t="e">
        <f t="shared" si="19"/>
        <v>#NUM!</v>
      </c>
      <c r="Y65" s="79" t="e">
        <f t="shared" si="19"/>
        <v>#NUM!</v>
      </c>
      <c r="Z65" s="79" t="e">
        <f t="shared" si="19"/>
        <v>#NUM!</v>
      </c>
    </row>
  </sheetData>
  <mergeCells count="8">
    <mergeCell ref="C1:R1"/>
    <mergeCell ref="C2:R2"/>
    <mergeCell ref="C52:R52"/>
    <mergeCell ref="C17:R17"/>
    <mergeCell ref="C18:R18"/>
    <mergeCell ref="C34:R34"/>
    <mergeCell ref="C35:R35"/>
    <mergeCell ref="C51:R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45"/>
  <sheetViews>
    <sheetView zoomScale="83" workbookViewId="0">
      <selection activeCell="C2" sqref="C2"/>
    </sheetView>
  </sheetViews>
  <sheetFormatPr defaultRowHeight="14.5" x14ac:dyDescent="0.35"/>
  <cols>
    <col min="1" max="1" width="14.26953125" bestFit="1" customWidth="1"/>
    <col min="2" max="2" width="8" bestFit="1" customWidth="1"/>
    <col min="3" max="26" width="13.26953125" bestFit="1" customWidth="1"/>
    <col min="28" max="28" width="2" bestFit="1" customWidth="1"/>
    <col min="29" max="29" width="16" bestFit="1" customWidth="1"/>
  </cols>
  <sheetData>
    <row r="1" spans="1:29" x14ac:dyDescent="0.35">
      <c r="A1" t="s">
        <v>192</v>
      </c>
      <c r="C1" t="s">
        <v>209</v>
      </c>
    </row>
    <row r="2" spans="1:29" x14ac:dyDescent="0.35">
      <c r="C2" t="s">
        <v>210</v>
      </c>
    </row>
    <row r="3" spans="1:29" x14ac:dyDescent="0.35">
      <c r="A3" s="2" t="s">
        <v>181</v>
      </c>
      <c r="B3" s="93" t="s">
        <v>177</v>
      </c>
      <c r="C3" s="93"/>
      <c r="D3" s="93"/>
      <c r="E3" s="93"/>
      <c r="F3" s="93"/>
      <c r="G3" s="93"/>
      <c r="H3" s="93"/>
      <c r="I3" s="2"/>
      <c r="J3" s="2"/>
      <c r="K3" s="2"/>
      <c r="L3" s="2"/>
    </row>
    <row r="4" spans="1:29" x14ac:dyDescent="0.35">
      <c r="A4" s="2" t="s">
        <v>179</v>
      </c>
      <c r="B4" s="2">
        <v>0</v>
      </c>
      <c r="C4" s="2">
        <v>1E-8</v>
      </c>
      <c r="D4" s="2">
        <v>9.9999999999999995E-7</v>
      </c>
      <c r="E4" s="2">
        <v>1E-4</v>
      </c>
      <c r="F4" s="2">
        <v>0.01</v>
      </c>
      <c r="G4" s="2">
        <v>0.05</v>
      </c>
      <c r="H4" s="2">
        <v>0.1</v>
      </c>
      <c r="I4" s="2">
        <v>0.15</v>
      </c>
      <c r="J4" s="2">
        <v>0.2</v>
      </c>
      <c r="K4" s="2">
        <v>0.25</v>
      </c>
      <c r="L4" s="2">
        <v>0.3</v>
      </c>
      <c r="M4" s="2">
        <v>0.35</v>
      </c>
      <c r="N4" s="2">
        <v>0.4</v>
      </c>
      <c r="O4" s="2">
        <v>0.45</v>
      </c>
      <c r="P4" s="2">
        <v>0.5</v>
      </c>
      <c r="Q4" s="2">
        <v>0.55000000000000004</v>
      </c>
      <c r="R4" s="2">
        <v>0.6</v>
      </c>
      <c r="S4" s="2">
        <v>0.65</v>
      </c>
      <c r="T4" s="2">
        <v>0.7</v>
      </c>
      <c r="U4" s="2">
        <v>0.75</v>
      </c>
      <c r="V4" s="2">
        <v>0.8</v>
      </c>
      <c r="W4" s="2">
        <v>0.85</v>
      </c>
      <c r="X4" s="2">
        <v>0.9</v>
      </c>
      <c r="Y4" s="2">
        <v>0.95</v>
      </c>
      <c r="Z4" s="2">
        <v>1</v>
      </c>
    </row>
    <row r="5" spans="1:29" x14ac:dyDescent="0.35">
      <c r="A5" s="2">
        <v>0</v>
      </c>
      <c r="B5" s="79" t="e">
        <f t="shared" ref="B5:Q15" si="0">-302.24739999951+0.008314*298*LN((B$4*(1*B$4)^(1))/($A5*(1-1*B$4)^(1)))</f>
        <v>#DIV/0!</v>
      </c>
      <c r="C5" s="79" t="e">
        <f t="shared" si="0"/>
        <v>#DIV/0!</v>
      </c>
      <c r="D5" s="79" t="e">
        <f t="shared" si="0"/>
        <v>#DIV/0!</v>
      </c>
      <c r="E5" s="79" t="e">
        <f t="shared" si="0"/>
        <v>#DIV/0!</v>
      </c>
      <c r="F5" s="79" t="e">
        <f t="shared" si="0"/>
        <v>#DIV/0!</v>
      </c>
      <c r="G5" s="79" t="e">
        <f t="shared" si="0"/>
        <v>#DIV/0!</v>
      </c>
      <c r="H5" s="79" t="e">
        <f t="shared" si="0"/>
        <v>#DIV/0!</v>
      </c>
      <c r="I5" s="79" t="e">
        <f t="shared" si="0"/>
        <v>#DIV/0!</v>
      </c>
      <c r="J5" s="79" t="e">
        <f t="shared" si="0"/>
        <v>#DIV/0!</v>
      </c>
      <c r="K5" s="79" t="e">
        <f t="shared" si="0"/>
        <v>#DIV/0!</v>
      </c>
      <c r="L5" s="79" t="e">
        <f t="shared" si="0"/>
        <v>#DIV/0!</v>
      </c>
      <c r="M5" s="79" t="e">
        <f t="shared" si="0"/>
        <v>#DIV/0!</v>
      </c>
      <c r="N5" s="79" t="e">
        <f t="shared" si="0"/>
        <v>#DIV/0!</v>
      </c>
      <c r="O5" s="79" t="e">
        <f t="shared" si="0"/>
        <v>#DIV/0!</v>
      </c>
      <c r="P5" s="79" t="e">
        <f t="shared" si="0"/>
        <v>#DIV/0!</v>
      </c>
      <c r="Q5" s="79" t="e">
        <f t="shared" si="0"/>
        <v>#DIV/0!</v>
      </c>
      <c r="R5" s="79" t="e">
        <f t="shared" ref="R5:Y15" si="1">-302.24739999951+0.008314*298*LN((R$4*(1*R$4)^(1))/($A5*(1-1*R$4)^(1)))</f>
        <v>#DIV/0!</v>
      </c>
      <c r="S5" s="79" t="e">
        <f t="shared" si="1"/>
        <v>#DIV/0!</v>
      </c>
      <c r="T5" s="79" t="e">
        <f t="shared" si="1"/>
        <v>#DIV/0!</v>
      </c>
      <c r="U5" s="79" t="e">
        <f t="shared" si="1"/>
        <v>#DIV/0!</v>
      </c>
      <c r="V5" s="79" t="e">
        <f t="shared" si="1"/>
        <v>#DIV/0!</v>
      </c>
      <c r="W5" s="79" t="e">
        <f t="shared" si="1"/>
        <v>#DIV/0!</v>
      </c>
      <c r="X5" s="79" t="e">
        <f t="shared" si="1"/>
        <v>#DIV/0!</v>
      </c>
      <c r="Y5" s="79" t="e">
        <f t="shared" si="1"/>
        <v>#DIV/0!</v>
      </c>
      <c r="Z5" s="79" t="e">
        <f t="shared" ref="Z5:Z14" si="2">-302.24739999951+0.008314*298*LN((Z$4*(1*Z$4)^(1))/($A5*(1-1*Z$4)^(1)))</f>
        <v>#DIV/0!</v>
      </c>
      <c r="AB5" s="2" t="s">
        <v>187</v>
      </c>
      <c r="AC5" s="2" t="s">
        <v>193</v>
      </c>
    </row>
    <row r="6" spans="1:29" x14ac:dyDescent="0.35">
      <c r="A6" s="2">
        <v>0.1</v>
      </c>
      <c r="B6" s="79" t="e">
        <f>-302.24739999951+0.008314*298*LN((B$4*(1*B$4)^(1))/($A6*(1-1*B$4)^(1)))</f>
        <v>#NUM!</v>
      </c>
      <c r="C6" s="79">
        <f t="shared" si="0"/>
        <v>-387.81970528502592</v>
      </c>
      <c r="D6" s="79">
        <f t="shared" si="0"/>
        <v>-365.00042141615063</v>
      </c>
      <c r="E6" s="79">
        <f t="shared" si="0"/>
        <v>-342.18089470805739</v>
      </c>
      <c r="F6" s="79">
        <f t="shared" si="0"/>
        <v>-319.33696063086705</v>
      </c>
      <c r="G6" s="79">
        <f t="shared" si="0"/>
        <v>-311.25978161643559</v>
      </c>
      <c r="H6" s="79">
        <f t="shared" si="0"/>
        <v>-307.69118209003005</v>
      </c>
      <c r="I6" s="79">
        <f t="shared" si="0"/>
        <v>-305.54043000668423</v>
      </c>
      <c r="J6" s="79">
        <f t="shared" si="0"/>
        <v>-303.96472204594426</v>
      </c>
      <c r="K6" s="79">
        <f t="shared" si="0"/>
        <v>-302.69911478361911</v>
      </c>
      <c r="L6" s="79">
        <f t="shared" si="0"/>
        <v>-301.6247504088052</v>
      </c>
      <c r="M6" s="79">
        <f t="shared" si="0"/>
        <v>-300.67730375577838</v>
      </c>
      <c r="N6" s="79">
        <f t="shared" si="0"/>
        <v>-299.81732490546722</v>
      </c>
      <c r="O6" s="79">
        <f t="shared" si="0"/>
        <v>-299.01811605172173</v>
      </c>
      <c r="P6" s="79">
        <f t="shared" si="0"/>
        <v>-298.25990169192482</v>
      </c>
      <c r="Q6" s="79">
        <f t="shared" si="0"/>
        <v>-297.52658776282908</v>
      </c>
      <c r="R6" s="79">
        <f t="shared" si="1"/>
        <v>-296.80361790898991</v>
      </c>
      <c r="S6" s="79">
        <f t="shared" si="1"/>
        <v>-296.07616112683013</v>
      </c>
      <c r="T6" s="79">
        <f t="shared" si="1"/>
        <v>-295.32702604513946</v>
      </c>
      <c r="U6" s="79">
        <f t="shared" si="1"/>
        <v>-294.53344164783903</v>
      </c>
      <c r="V6" s="79">
        <f t="shared" si="1"/>
        <v>-293.66078976733866</v>
      </c>
      <c r="W6" s="79">
        <f t="shared" si="1"/>
        <v>-292.64763298868417</v>
      </c>
      <c r="X6" s="79">
        <f t="shared" si="1"/>
        <v>-291.35983581846989</v>
      </c>
      <c r="Y6" s="79">
        <f t="shared" si="1"/>
        <v>-289.37460290496153</v>
      </c>
      <c r="Z6" s="79" t="e">
        <f>-302.24739999951+0.008314*298*LN((Z$4*(1*Z$4)^(1))/($A6*(1-1*Z$4)^(1)))</f>
        <v>#DIV/0!</v>
      </c>
      <c r="AB6" s="2" t="s">
        <v>184</v>
      </c>
      <c r="AC6" s="2" t="s">
        <v>194</v>
      </c>
    </row>
    <row r="7" spans="1:29" x14ac:dyDescent="0.35">
      <c r="A7" s="2">
        <v>0.2</v>
      </c>
      <c r="B7" s="79" t="e">
        <f t="shared" si="0"/>
        <v>#NUM!</v>
      </c>
      <c r="C7" s="79">
        <f t="shared" si="0"/>
        <v>-389.53702733146019</v>
      </c>
      <c r="D7" s="79">
        <f t="shared" si="0"/>
        <v>-366.71774346258491</v>
      </c>
      <c r="E7" s="79">
        <f t="shared" si="0"/>
        <v>-343.89821675449167</v>
      </c>
      <c r="F7" s="79">
        <f t="shared" si="0"/>
        <v>-321.05428267730133</v>
      </c>
      <c r="G7" s="79">
        <f t="shared" si="0"/>
        <v>-312.97710366286987</v>
      </c>
      <c r="H7" s="79">
        <f t="shared" si="0"/>
        <v>-309.40850413646427</v>
      </c>
      <c r="I7" s="79">
        <f t="shared" si="0"/>
        <v>-307.25775205311851</v>
      </c>
      <c r="J7" s="79">
        <f t="shared" si="0"/>
        <v>-305.68204409237853</v>
      </c>
      <c r="K7" s="79">
        <f t="shared" si="0"/>
        <v>-304.41643683005339</v>
      </c>
      <c r="L7" s="79">
        <f t="shared" si="0"/>
        <v>-303.34207245523947</v>
      </c>
      <c r="M7" s="79">
        <f t="shared" si="0"/>
        <v>-302.39462580221266</v>
      </c>
      <c r="N7" s="79">
        <f t="shared" si="0"/>
        <v>-301.53464695190149</v>
      </c>
      <c r="O7" s="79">
        <f t="shared" si="0"/>
        <v>-300.73543809815601</v>
      </c>
      <c r="P7" s="79">
        <f t="shared" si="0"/>
        <v>-299.97722373835904</v>
      </c>
      <c r="Q7" s="79">
        <f t="shared" si="0"/>
        <v>-299.24390980926336</v>
      </c>
      <c r="R7" s="79">
        <f t="shared" si="1"/>
        <v>-298.52093995542418</v>
      </c>
      <c r="S7" s="79">
        <f t="shared" si="1"/>
        <v>-297.79348317326441</v>
      </c>
      <c r="T7" s="79">
        <f t="shared" si="1"/>
        <v>-297.04434809157374</v>
      </c>
      <c r="U7" s="79">
        <f t="shared" si="1"/>
        <v>-296.2507636942733</v>
      </c>
      <c r="V7" s="79">
        <f t="shared" si="1"/>
        <v>-295.37811181377293</v>
      </c>
      <c r="W7" s="79">
        <f t="shared" si="1"/>
        <v>-294.36495503511844</v>
      </c>
      <c r="X7" s="79">
        <f t="shared" si="1"/>
        <v>-293.07715786490417</v>
      </c>
      <c r="Y7" s="79">
        <f t="shared" si="1"/>
        <v>-291.09192495139581</v>
      </c>
      <c r="Z7" s="79" t="e">
        <f t="shared" si="2"/>
        <v>#DIV/0!</v>
      </c>
      <c r="AB7" s="2"/>
      <c r="AC7" s="2" t="s">
        <v>195</v>
      </c>
    </row>
    <row r="8" spans="1:29" x14ac:dyDescent="0.35">
      <c r="A8" s="2">
        <v>0.3</v>
      </c>
      <c r="B8" s="79" t="e">
        <f t="shared" si="0"/>
        <v>#NUM!</v>
      </c>
      <c r="C8" s="79">
        <f t="shared" si="0"/>
        <v>-390.54159633028593</v>
      </c>
      <c r="D8" s="79">
        <f t="shared" si="0"/>
        <v>-367.72231246141064</v>
      </c>
      <c r="E8" s="79">
        <f t="shared" si="0"/>
        <v>-344.9027857533174</v>
      </c>
      <c r="F8" s="79">
        <f t="shared" si="0"/>
        <v>-322.05885167612712</v>
      </c>
      <c r="G8" s="79">
        <f t="shared" si="0"/>
        <v>-313.9816726616956</v>
      </c>
      <c r="H8" s="79">
        <f t="shared" si="0"/>
        <v>-310.41307313529006</v>
      </c>
      <c r="I8" s="79">
        <f t="shared" si="0"/>
        <v>-308.26232105194424</v>
      </c>
      <c r="J8" s="79">
        <f t="shared" si="0"/>
        <v>-306.68661309120426</v>
      </c>
      <c r="K8" s="79">
        <f t="shared" si="0"/>
        <v>-305.42100582887912</v>
      </c>
      <c r="L8" s="79">
        <f t="shared" si="0"/>
        <v>-304.34664145406521</v>
      </c>
      <c r="M8" s="79">
        <f t="shared" si="0"/>
        <v>-303.39919480103845</v>
      </c>
      <c r="N8" s="79">
        <f t="shared" si="0"/>
        <v>-302.53921595072723</v>
      </c>
      <c r="O8" s="79">
        <f t="shared" si="0"/>
        <v>-301.7400070969818</v>
      </c>
      <c r="P8" s="79">
        <f t="shared" si="0"/>
        <v>-300.98179273718483</v>
      </c>
      <c r="Q8" s="79">
        <f t="shared" si="0"/>
        <v>-300.24847880808909</v>
      </c>
      <c r="R8" s="79">
        <f t="shared" si="1"/>
        <v>-299.52550895424997</v>
      </c>
      <c r="S8" s="79">
        <f t="shared" si="1"/>
        <v>-298.79805217209014</v>
      </c>
      <c r="T8" s="79">
        <f t="shared" si="1"/>
        <v>-298.04891709039947</v>
      </c>
      <c r="U8" s="79">
        <f t="shared" si="1"/>
        <v>-297.25533269309904</v>
      </c>
      <c r="V8" s="79">
        <f t="shared" si="1"/>
        <v>-296.38268081259866</v>
      </c>
      <c r="W8" s="79">
        <f t="shared" si="1"/>
        <v>-295.36952403394423</v>
      </c>
      <c r="X8" s="79">
        <f t="shared" si="1"/>
        <v>-294.0817268637299</v>
      </c>
      <c r="Y8" s="79">
        <f t="shared" si="1"/>
        <v>-292.09649395022154</v>
      </c>
      <c r="Z8" s="79" t="e">
        <f t="shared" si="2"/>
        <v>#DIV/0!</v>
      </c>
    </row>
    <row r="9" spans="1:29" x14ac:dyDescent="0.35">
      <c r="A9" s="2">
        <v>0.4</v>
      </c>
      <c r="B9" s="79" t="e">
        <f t="shared" si="0"/>
        <v>#NUM!</v>
      </c>
      <c r="C9" s="79">
        <f t="shared" si="0"/>
        <v>-391.25434937789441</v>
      </c>
      <c r="D9" s="79">
        <f t="shared" si="0"/>
        <v>-368.43506550901918</v>
      </c>
      <c r="E9" s="79">
        <f t="shared" si="0"/>
        <v>-345.61553880092595</v>
      </c>
      <c r="F9" s="79">
        <f t="shared" si="0"/>
        <v>-322.77160472373561</v>
      </c>
      <c r="G9" s="79">
        <f t="shared" si="0"/>
        <v>-314.69442570930414</v>
      </c>
      <c r="H9" s="79">
        <f t="shared" si="0"/>
        <v>-311.12582618289855</v>
      </c>
      <c r="I9" s="79">
        <f t="shared" si="0"/>
        <v>-308.97507409955278</v>
      </c>
      <c r="J9" s="79">
        <f t="shared" si="0"/>
        <v>-307.39936613881275</v>
      </c>
      <c r="K9" s="79">
        <f t="shared" si="0"/>
        <v>-306.1337588764876</v>
      </c>
      <c r="L9" s="79">
        <f t="shared" si="0"/>
        <v>-305.05939450167375</v>
      </c>
      <c r="M9" s="79">
        <f t="shared" si="0"/>
        <v>-304.11194784864693</v>
      </c>
      <c r="N9" s="79">
        <f t="shared" si="0"/>
        <v>-303.25196899833571</v>
      </c>
      <c r="O9" s="79">
        <f t="shared" si="0"/>
        <v>-302.45276014459029</v>
      </c>
      <c r="P9" s="79">
        <f t="shared" si="0"/>
        <v>-301.69454578479332</v>
      </c>
      <c r="Q9" s="79">
        <f t="shared" si="0"/>
        <v>-300.96123185569763</v>
      </c>
      <c r="R9" s="79">
        <f t="shared" si="1"/>
        <v>-300.23826200185846</v>
      </c>
      <c r="S9" s="79">
        <f t="shared" si="1"/>
        <v>-299.51080521969868</v>
      </c>
      <c r="T9" s="79">
        <f t="shared" si="1"/>
        <v>-298.76167013800801</v>
      </c>
      <c r="U9" s="79">
        <f t="shared" si="1"/>
        <v>-297.96808574070752</v>
      </c>
      <c r="V9" s="79">
        <f t="shared" si="1"/>
        <v>-297.09543386020721</v>
      </c>
      <c r="W9" s="79">
        <f t="shared" si="1"/>
        <v>-296.08227708155272</v>
      </c>
      <c r="X9" s="79">
        <f t="shared" si="1"/>
        <v>-294.79447991133839</v>
      </c>
      <c r="Y9" s="79">
        <f t="shared" si="1"/>
        <v>-292.80924699783009</v>
      </c>
      <c r="Z9" s="79" t="e">
        <f t="shared" si="2"/>
        <v>#DIV/0!</v>
      </c>
    </row>
    <row r="10" spans="1:29" x14ac:dyDescent="0.35">
      <c r="A10" s="2">
        <v>0.5</v>
      </c>
      <c r="B10" s="79" t="e">
        <f t="shared" si="0"/>
        <v>#NUM!</v>
      </c>
      <c r="C10" s="79">
        <f t="shared" si="0"/>
        <v>-391.80720359261107</v>
      </c>
      <c r="D10" s="79">
        <f t="shared" si="0"/>
        <v>-368.98791972373579</v>
      </c>
      <c r="E10" s="79">
        <f t="shared" si="0"/>
        <v>-346.16839301564255</v>
      </c>
      <c r="F10" s="79">
        <f t="shared" si="0"/>
        <v>-323.32445893845227</v>
      </c>
      <c r="G10" s="79">
        <f t="shared" si="0"/>
        <v>-315.2472799240208</v>
      </c>
      <c r="H10" s="79">
        <f t="shared" si="0"/>
        <v>-311.67868039761521</v>
      </c>
      <c r="I10" s="79">
        <f t="shared" si="0"/>
        <v>-309.52792831426945</v>
      </c>
      <c r="J10" s="79">
        <f t="shared" si="0"/>
        <v>-307.95222035352941</v>
      </c>
      <c r="K10" s="79">
        <f t="shared" si="0"/>
        <v>-306.68661309120426</v>
      </c>
      <c r="L10" s="79">
        <f t="shared" si="0"/>
        <v>-305.61224871639035</v>
      </c>
      <c r="M10" s="79">
        <f t="shared" si="0"/>
        <v>-304.6648020633636</v>
      </c>
      <c r="N10" s="79">
        <f t="shared" si="0"/>
        <v>-303.80482321305237</v>
      </c>
      <c r="O10" s="79">
        <f t="shared" si="0"/>
        <v>-303.00561435930695</v>
      </c>
      <c r="P10" s="79">
        <f t="shared" si="0"/>
        <v>-302.24739999950998</v>
      </c>
      <c r="Q10" s="79">
        <f t="shared" si="0"/>
        <v>-301.51408607041429</v>
      </c>
      <c r="R10" s="79">
        <f t="shared" si="1"/>
        <v>-300.79111621657512</v>
      </c>
      <c r="S10" s="79">
        <f t="shared" si="1"/>
        <v>-300.06365943441529</v>
      </c>
      <c r="T10" s="79">
        <f t="shared" si="1"/>
        <v>-299.31452435272462</v>
      </c>
      <c r="U10" s="79">
        <f t="shared" si="1"/>
        <v>-298.52093995542418</v>
      </c>
      <c r="V10" s="79">
        <f t="shared" si="1"/>
        <v>-297.64828807492381</v>
      </c>
      <c r="W10" s="79">
        <f t="shared" si="1"/>
        <v>-296.63513129626938</v>
      </c>
      <c r="X10" s="79">
        <f t="shared" si="1"/>
        <v>-295.34733412605505</v>
      </c>
      <c r="Y10" s="79">
        <f t="shared" si="1"/>
        <v>-293.36210121254669</v>
      </c>
      <c r="Z10" s="79" t="e">
        <f t="shared" si="2"/>
        <v>#DIV/0!</v>
      </c>
    </row>
    <row r="11" spans="1:29" x14ac:dyDescent="0.35">
      <c r="A11" s="2">
        <v>0.6</v>
      </c>
      <c r="B11" s="79" t="e">
        <f t="shared" si="0"/>
        <v>#NUM!</v>
      </c>
      <c r="C11" s="79">
        <f t="shared" si="0"/>
        <v>-392.2589183767202</v>
      </c>
      <c r="D11" s="79">
        <f>-302.24739999951+0.008314*298*LN((D$4*(1*D$4)^(1))/($A11*(1-1*D$4)^(1)))</f>
        <v>-369.43963450784491</v>
      </c>
      <c r="E11" s="79">
        <f t="shared" si="0"/>
        <v>-346.62010779975168</v>
      </c>
      <c r="F11" s="79">
        <f t="shared" si="0"/>
        <v>-323.77617372256134</v>
      </c>
      <c r="G11" s="79">
        <f t="shared" si="0"/>
        <v>-315.69899470812987</v>
      </c>
      <c r="H11" s="79">
        <f t="shared" si="0"/>
        <v>-312.13039518172434</v>
      </c>
      <c r="I11" s="79">
        <f t="shared" si="0"/>
        <v>-309.97964309837852</v>
      </c>
      <c r="J11" s="79">
        <f t="shared" si="0"/>
        <v>-308.40393513763854</v>
      </c>
      <c r="K11" s="79">
        <f t="shared" si="0"/>
        <v>-307.13832787531339</v>
      </c>
      <c r="L11" s="79">
        <f t="shared" si="0"/>
        <v>-306.06396350049948</v>
      </c>
      <c r="M11" s="79">
        <f t="shared" si="0"/>
        <v>-305.11651684747267</v>
      </c>
      <c r="N11" s="79">
        <f t="shared" si="0"/>
        <v>-304.2565379971615</v>
      </c>
      <c r="O11" s="79">
        <f t="shared" si="0"/>
        <v>-303.45732914341602</v>
      </c>
      <c r="P11" s="79">
        <f t="shared" si="0"/>
        <v>-302.69911478361911</v>
      </c>
      <c r="Q11" s="79">
        <f t="shared" si="0"/>
        <v>-301.96580085452337</v>
      </c>
      <c r="R11" s="79">
        <f t="shared" si="1"/>
        <v>-301.24283100068419</v>
      </c>
      <c r="S11" s="79">
        <f t="shared" si="1"/>
        <v>-300.51537421852441</v>
      </c>
      <c r="T11" s="79">
        <f t="shared" si="1"/>
        <v>-299.76623913683375</v>
      </c>
      <c r="U11" s="79">
        <f t="shared" si="1"/>
        <v>-298.97265473953331</v>
      </c>
      <c r="V11" s="79">
        <f t="shared" si="1"/>
        <v>-298.10000285903294</v>
      </c>
      <c r="W11" s="79">
        <f t="shared" si="1"/>
        <v>-297.08684608037845</v>
      </c>
      <c r="X11" s="79">
        <f t="shared" si="1"/>
        <v>-295.79904891016417</v>
      </c>
      <c r="Y11" s="79">
        <f t="shared" si="1"/>
        <v>-293.81381599665582</v>
      </c>
      <c r="Z11" s="79" t="e">
        <f t="shared" si="2"/>
        <v>#DIV/0!</v>
      </c>
    </row>
    <row r="12" spans="1:29" x14ac:dyDescent="0.35">
      <c r="A12" s="2">
        <v>0.7</v>
      </c>
      <c r="B12" s="79" t="e">
        <f t="shared" si="0"/>
        <v>#NUM!</v>
      </c>
      <c r="C12" s="79">
        <f t="shared" si="0"/>
        <v>-392.64083778484121</v>
      </c>
      <c r="D12" s="79">
        <f t="shared" si="0"/>
        <v>-369.82155391596586</v>
      </c>
      <c r="E12" s="79">
        <f t="shared" si="0"/>
        <v>-347.00202720787269</v>
      </c>
      <c r="F12" s="79">
        <f t="shared" si="0"/>
        <v>-324.15809313068235</v>
      </c>
      <c r="G12" s="79">
        <f t="shared" si="0"/>
        <v>-316.08091411625088</v>
      </c>
      <c r="H12" s="79">
        <f t="shared" si="0"/>
        <v>-312.51231458984529</v>
      </c>
      <c r="I12" s="79">
        <f t="shared" si="0"/>
        <v>-310.36156250649952</v>
      </c>
      <c r="J12" s="79">
        <f t="shared" si="0"/>
        <v>-308.78585454575949</v>
      </c>
      <c r="K12" s="79">
        <f t="shared" si="0"/>
        <v>-307.52024728343434</v>
      </c>
      <c r="L12" s="79">
        <f t="shared" si="0"/>
        <v>-306.44588290862049</v>
      </c>
      <c r="M12" s="79">
        <f t="shared" si="0"/>
        <v>-305.49843625559367</v>
      </c>
      <c r="N12" s="79">
        <f t="shared" si="0"/>
        <v>-304.63845740528251</v>
      </c>
      <c r="O12" s="79">
        <f t="shared" si="0"/>
        <v>-303.83924855153703</v>
      </c>
      <c r="P12" s="79">
        <f t="shared" si="0"/>
        <v>-303.08103419174006</v>
      </c>
      <c r="Q12" s="79">
        <f t="shared" si="0"/>
        <v>-302.34772026264437</v>
      </c>
      <c r="R12" s="79">
        <f t="shared" si="1"/>
        <v>-301.6247504088052</v>
      </c>
      <c r="S12" s="79">
        <f t="shared" si="1"/>
        <v>-300.89729362664542</v>
      </c>
      <c r="T12" s="79">
        <f t="shared" si="1"/>
        <v>-300.14815854495475</v>
      </c>
      <c r="U12" s="79">
        <f t="shared" si="1"/>
        <v>-299.35457414765426</v>
      </c>
      <c r="V12" s="79">
        <f t="shared" si="1"/>
        <v>-298.48192226715395</v>
      </c>
      <c r="W12" s="79">
        <f t="shared" si="1"/>
        <v>-297.46876548849946</v>
      </c>
      <c r="X12" s="79">
        <f t="shared" si="1"/>
        <v>-296.18096831828512</v>
      </c>
      <c r="Y12" s="79">
        <f t="shared" si="1"/>
        <v>-294.19573540477683</v>
      </c>
      <c r="Z12" s="79" t="e">
        <f t="shared" si="2"/>
        <v>#DIV/0!</v>
      </c>
    </row>
    <row r="13" spans="1:29" x14ac:dyDescent="0.35">
      <c r="A13" s="2">
        <v>0.8</v>
      </c>
      <c r="B13" s="79" t="e">
        <f t="shared" si="0"/>
        <v>#NUM!</v>
      </c>
      <c r="C13" s="79">
        <f t="shared" si="0"/>
        <v>-392.97167142432869</v>
      </c>
      <c r="D13" s="79">
        <f t="shared" si="0"/>
        <v>-370.1523875554534</v>
      </c>
      <c r="E13" s="79">
        <f t="shared" si="0"/>
        <v>-347.33286084736017</v>
      </c>
      <c r="F13" s="79">
        <f t="shared" si="0"/>
        <v>-324.48892677016988</v>
      </c>
      <c r="G13" s="79">
        <f t="shared" si="0"/>
        <v>-316.41174775573842</v>
      </c>
      <c r="H13" s="79">
        <f t="shared" si="0"/>
        <v>-312.84314822933283</v>
      </c>
      <c r="I13" s="79">
        <f t="shared" si="0"/>
        <v>-310.69239614598706</v>
      </c>
      <c r="J13" s="79">
        <f t="shared" si="0"/>
        <v>-309.11668818524703</v>
      </c>
      <c r="K13" s="79">
        <f t="shared" si="0"/>
        <v>-307.85108092292188</v>
      </c>
      <c r="L13" s="79">
        <f t="shared" si="0"/>
        <v>-306.77671654810797</v>
      </c>
      <c r="M13" s="79">
        <f t="shared" si="0"/>
        <v>-305.82926989508121</v>
      </c>
      <c r="N13" s="79">
        <f t="shared" si="0"/>
        <v>-304.96929104476999</v>
      </c>
      <c r="O13" s="79">
        <f t="shared" si="0"/>
        <v>-304.17008219102456</v>
      </c>
      <c r="P13" s="79">
        <f t="shared" si="0"/>
        <v>-303.4118678312276</v>
      </c>
      <c r="Q13" s="79">
        <f t="shared" si="0"/>
        <v>-302.67855390213191</v>
      </c>
      <c r="R13" s="79">
        <f t="shared" si="1"/>
        <v>-301.95558404829274</v>
      </c>
      <c r="S13" s="79">
        <f t="shared" si="1"/>
        <v>-301.2281272661329</v>
      </c>
      <c r="T13" s="79">
        <f t="shared" si="1"/>
        <v>-300.47899218444223</v>
      </c>
      <c r="U13" s="79">
        <f t="shared" si="1"/>
        <v>-299.6854077871418</v>
      </c>
      <c r="V13" s="79">
        <f t="shared" si="1"/>
        <v>-298.81275590664143</v>
      </c>
      <c r="W13" s="79">
        <f t="shared" si="1"/>
        <v>-297.79959912798699</v>
      </c>
      <c r="X13" s="79">
        <f t="shared" si="1"/>
        <v>-296.51180195777266</v>
      </c>
      <c r="Y13" s="79">
        <f t="shared" si="1"/>
        <v>-294.52656904426431</v>
      </c>
      <c r="Z13" s="79" t="e">
        <f t="shared" si="2"/>
        <v>#DIV/0!</v>
      </c>
    </row>
    <row r="14" spans="1:29" x14ac:dyDescent="0.35">
      <c r="A14" s="2">
        <v>0.9</v>
      </c>
      <c r="B14" s="79" t="e">
        <f t="shared" si="0"/>
        <v>#NUM!</v>
      </c>
      <c r="C14" s="79">
        <f t="shared" si="0"/>
        <v>-393.26348737554599</v>
      </c>
      <c r="D14" s="79">
        <f t="shared" si="0"/>
        <v>-370.44420350667065</v>
      </c>
      <c r="E14" s="79">
        <f t="shared" si="0"/>
        <v>-347.62467679857747</v>
      </c>
      <c r="F14" s="79">
        <f t="shared" si="0"/>
        <v>-324.78074272138713</v>
      </c>
      <c r="G14" s="79">
        <f t="shared" si="0"/>
        <v>-316.70356370695566</v>
      </c>
      <c r="H14" s="79">
        <f t="shared" si="0"/>
        <v>-313.13496418055007</v>
      </c>
      <c r="I14" s="79">
        <f t="shared" si="0"/>
        <v>-310.98421209720431</v>
      </c>
      <c r="J14" s="79">
        <f t="shared" si="0"/>
        <v>-309.40850413646427</v>
      </c>
      <c r="K14" s="79">
        <f t="shared" si="0"/>
        <v>-308.14289687413913</v>
      </c>
      <c r="L14" s="79">
        <f t="shared" si="0"/>
        <v>-307.06853249932527</v>
      </c>
      <c r="M14" s="79">
        <f t="shared" si="0"/>
        <v>-306.12108584629846</v>
      </c>
      <c r="N14" s="79">
        <f t="shared" si="0"/>
        <v>-305.26110699598729</v>
      </c>
      <c r="O14" s="79">
        <f t="shared" si="0"/>
        <v>-304.46189814224181</v>
      </c>
      <c r="P14" s="79">
        <f t="shared" si="0"/>
        <v>-303.70368378244484</v>
      </c>
      <c r="Q14" s="79">
        <f t="shared" si="0"/>
        <v>-302.97036985334915</v>
      </c>
      <c r="R14" s="79">
        <f t="shared" si="1"/>
        <v>-302.24739999950998</v>
      </c>
      <c r="S14" s="79">
        <f t="shared" si="1"/>
        <v>-301.5199432173502</v>
      </c>
      <c r="T14" s="79">
        <f t="shared" si="1"/>
        <v>-300.77080813565954</v>
      </c>
      <c r="U14" s="79">
        <f t="shared" si="1"/>
        <v>-299.97722373835904</v>
      </c>
      <c r="V14" s="79">
        <f t="shared" si="1"/>
        <v>-299.10457185785873</v>
      </c>
      <c r="W14" s="79">
        <f t="shared" si="1"/>
        <v>-298.09141507920424</v>
      </c>
      <c r="X14" s="79">
        <f t="shared" si="1"/>
        <v>-296.80361790898991</v>
      </c>
      <c r="Y14" s="79">
        <f t="shared" si="1"/>
        <v>-294.81838499548161</v>
      </c>
      <c r="Z14" s="79" t="e">
        <f t="shared" si="2"/>
        <v>#DIV/0!</v>
      </c>
    </row>
    <row r="15" spans="1:29" x14ac:dyDescent="0.35">
      <c r="A15" s="2">
        <v>1</v>
      </c>
      <c r="B15" s="79" t="e">
        <f>-302.24739999951+0.008314*298*LN((B$4*(1*B$4)^(1))/($A15*(1-1*B$4)^(1)))</f>
        <v>#NUM!</v>
      </c>
      <c r="C15" s="79">
        <f t="shared" si="0"/>
        <v>-393.52452563904535</v>
      </c>
      <c r="D15" s="79">
        <f t="shared" si="0"/>
        <v>-370.70524177017006</v>
      </c>
      <c r="E15" s="79">
        <f t="shared" si="0"/>
        <v>-347.88571506207683</v>
      </c>
      <c r="F15" s="79">
        <f t="shared" si="0"/>
        <v>-325.04178098488654</v>
      </c>
      <c r="G15" s="79">
        <f t="shared" si="0"/>
        <v>-316.96460197045502</v>
      </c>
      <c r="H15" s="79">
        <f t="shared" si="0"/>
        <v>-313.39600244404949</v>
      </c>
      <c r="I15" s="79">
        <f t="shared" si="0"/>
        <v>-311.24525036070366</v>
      </c>
      <c r="J15" s="79">
        <f t="shared" si="0"/>
        <v>-309.66954239996369</v>
      </c>
      <c r="K15" s="79">
        <f t="shared" si="0"/>
        <v>-308.40393513763854</v>
      </c>
      <c r="L15" s="79">
        <f t="shared" si="0"/>
        <v>-307.32957076282463</v>
      </c>
      <c r="M15" s="79">
        <f t="shared" si="0"/>
        <v>-306.38212410979781</v>
      </c>
      <c r="N15" s="79">
        <f t="shared" si="0"/>
        <v>-305.52214525948665</v>
      </c>
      <c r="O15" s="79">
        <f t="shared" si="0"/>
        <v>-304.72293640574117</v>
      </c>
      <c r="P15" s="79">
        <f t="shared" si="0"/>
        <v>-303.96472204594426</v>
      </c>
      <c r="Q15" s="79">
        <f t="shared" si="0"/>
        <v>-303.23140811684851</v>
      </c>
      <c r="R15" s="79">
        <f t="shared" si="1"/>
        <v>-302.5084382630094</v>
      </c>
      <c r="S15" s="79">
        <f t="shared" si="1"/>
        <v>-301.78098148084956</v>
      </c>
      <c r="T15" s="79">
        <f t="shared" si="1"/>
        <v>-301.03184639915889</v>
      </c>
      <c r="U15" s="79">
        <f t="shared" si="1"/>
        <v>-300.23826200185846</v>
      </c>
      <c r="V15" s="79">
        <f t="shared" si="1"/>
        <v>-299.36561012135809</v>
      </c>
      <c r="W15" s="79">
        <f t="shared" si="1"/>
        <v>-298.3524533427036</v>
      </c>
      <c r="X15" s="79">
        <f t="shared" si="1"/>
        <v>-297.06465617248932</v>
      </c>
      <c r="Y15" s="79">
        <f t="shared" si="1"/>
        <v>-295.07942325898097</v>
      </c>
      <c r="Z15" s="79" t="e">
        <f>-302.24739999951+0.008314*298*LN((Z$4*(1*Z$4)^(1))/($A15*(1-1*Z$4)^(1)))</f>
        <v>#DIV/0!</v>
      </c>
    </row>
    <row r="18" spans="1:26" x14ac:dyDescent="0.35">
      <c r="A18" s="2" t="s">
        <v>182</v>
      </c>
      <c r="B18" s="93" t="s">
        <v>177</v>
      </c>
      <c r="C18" s="93"/>
      <c r="D18" s="93"/>
      <c r="E18" s="93"/>
      <c r="F18" s="93"/>
      <c r="G18" s="93"/>
      <c r="H18" s="9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179</v>
      </c>
      <c r="B19" s="2">
        <v>0</v>
      </c>
      <c r="C19" s="2">
        <v>1E-8</v>
      </c>
      <c r="D19" s="2">
        <v>9.9999999999999995E-7</v>
      </c>
      <c r="E19" s="2">
        <v>1E-4</v>
      </c>
      <c r="F19" s="2">
        <v>0.01</v>
      </c>
      <c r="G19" s="2">
        <v>0.05</v>
      </c>
      <c r="H19" s="2">
        <v>0.1</v>
      </c>
      <c r="I19" s="2">
        <v>0.15</v>
      </c>
      <c r="J19" s="2">
        <v>0.2</v>
      </c>
      <c r="K19" s="2">
        <v>0.25</v>
      </c>
      <c r="L19" s="2">
        <v>0.3</v>
      </c>
      <c r="M19" s="2">
        <v>0.35</v>
      </c>
      <c r="N19" s="2">
        <v>0.4</v>
      </c>
      <c r="O19" s="2">
        <v>0.45</v>
      </c>
      <c r="P19" s="2">
        <v>0.5</v>
      </c>
      <c r="Q19" s="2">
        <v>0.55000000000000004</v>
      </c>
      <c r="R19" s="2">
        <v>0.6</v>
      </c>
      <c r="S19" s="2">
        <v>0.65</v>
      </c>
      <c r="T19" s="2">
        <v>0.7</v>
      </c>
      <c r="U19" s="2">
        <v>0.75</v>
      </c>
      <c r="V19" s="2">
        <v>0.8</v>
      </c>
      <c r="W19" s="2">
        <v>0.85</v>
      </c>
      <c r="X19" s="2">
        <v>0.9</v>
      </c>
      <c r="Y19" s="2">
        <v>0.95</v>
      </c>
      <c r="Z19" s="2">
        <v>1</v>
      </c>
    </row>
    <row r="20" spans="1:26" x14ac:dyDescent="0.35">
      <c r="A20" s="2">
        <v>0</v>
      </c>
      <c r="B20" s="79" t="e">
        <f>-302.24739999951+0.008314*298*LN((B$4*(2*B$4)^(2))/($A20*(1-2*B$4)^(2)))</f>
        <v>#DIV/0!</v>
      </c>
      <c r="C20" s="79" t="e">
        <f t="shared" ref="C20:R30" si="3">-302.24739999951+0.008314*298*LN((C$4*(2*C$4)^(2))/($A20*(1-2*C$4)^(2)))</f>
        <v>#DIV/0!</v>
      </c>
      <c r="D20" s="79" t="e">
        <f t="shared" si="3"/>
        <v>#DIV/0!</v>
      </c>
      <c r="E20" s="79" t="e">
        <f t="shared" si="3"/>
        <v>#DIV/0!</v>
      </c>
      <c r="F20" s="79" t="e">
        <f t="shared" si="3"/>
        <v>#DIV/0!</v>
      </c>
      <c r="G20" s="79" t="e">
        <f t="shared" si="3"/>
        <v>#DIV/0!</v>
      </c>
      <c r="H20" s="79" t="e">
        <f t="shared" si="3"/>
        <v>#DIV/0!</v>
      </c>
      <c r="I20" s="79" t="e">
        <f t="shared" si="3"/>
        <v>#DIV/0!</v>
      </c>
      <c r="J20" s="79" t="e">
        <f t="shared" si="3"/>
        <v>#DIV/0!</v>
      </c>
      <c r="K20" s="79" t="e">
        <f t="shared" si="3"/>
        <v>#DIV/0!</v>
      </c>
      <c r="L20" s="79" t="e">
        <f t="shared" si="3"/>
        <v>#DIV/0!</v>
      </c>
      <c r="M20" s="79" t="e">
        <f t="shared" si="3"/>
        <v>#DIV/0!</v>
      </c>
      <c r="N20" s="79" t="e">
        <f t="shared" si="3"/>
        <v>#DIV/0!</v>
      </c>
      <c r="O20" s="79" t="e">
        <f t="shared" si="3"/>
        <v>#DIV/0!</v>
      </c>
      <c r="P20" s="79" t="e">
        <f t="shared" si="3"/>
        <v>#DIV/0!</v>
      </c>
      <c r="Q20" s="79" t="e">
        <f t="shared" si="3"/>
        <v>#DIV/0!</v>
      </c>
      <c r="R20" s="79" t="e">
        <f t="shared" si="3"/>
        <v>#DIV/0!</v>
      </c>
      <c r="S20" s="79" t="e">
        <f t="shared" ref="S20:Z30" si="4">-302.24739999951+0.008314*298*LN((S$4*(2*S$4)^(2))/($A20*(1-2*S$4)^(2)))</f>
        <v>#DIV/0!</v>
      </c>
      <c r="T20" s="79" t="e">
        <f t="shared" si="4"/>
        <v>#DIV/0!</v>
      </c>
      <c r="U20" s="79" t="e">
        <f t="shared" si="4"/>
        <v>#DIV/0!</v>
      </c>
      <c r="V20" s="79" t="e">
        <f t="shared" si="4"/>
        <v>#DIV/0!</v>
      </c>
      <c r="W20" s="79" t="e">
        <f t="shared" si="4"/>
        <v>#DIV/0!</v>
      </c>
      <c r="X20" s="79" t="e">
        <f t="shared" si="4"/>
        <v>#DIV/0!</v>
      </c>
      <c r="Y20" s="79" t="e">
        <f t="shared" si="4"/>
        <v>#DIV/0!</v>
      </c>
      <c r="Z20" s="79" t="e">
        <f t="shared" si="4"/>
        <v>#DIV/0!</v>
      </c>
    </row>
    <row r="21" spans="1:26" x14ac:dyDescent="0.35">
      <c r="A21" s="2">
        <v>0.1</v>
      </c>
      <c r="B21" s="79" t="e">
        <f t="shared" ref="B21:B30" si="5">-302.24739999951+0.008314*298*LN((B$4*(2*B$4)^(2))/($A21*(1-2*B$4)^(2)))</f>
        <v>#NUM!</v>
      </c>
      <c r="C21" s="79">
        <f t="shared" si="3"/>
        <v>-430.02362394998579</v>
      </c>
      <c r="D21" s="79">
        <f t="shared" si="3"/>
        <v>-395.79469201467407</v>
      </c>
      <c r="E21" s="79">
        <f t="shared" si="3"/>
        <v>-361.56478867293924</v>
      </c>
      <c r="F21" s="79">
        <f t="shared" si="3"/>
        <v>-327.23675035279052</v>
      </c>
      <c r="G21" s="79">
        <f t="shared" si="3"/>
        <v>-314.85228622698435</v>
      </c>
      <c r="H21" s="79">
        <f t="shared" si="3"/>
        <v>-309.11668818524703</v>
      </c>
      <c r="I21" s="79">
        <f t="shared" si="3"/>
        <v>-305.4413139097947</v>
      </c>
      <c r="J21" s="79">
        <f t="shared" si="3"/>
        <v>-302.53921595072723</v>
      </c>
      <c r="K21" s="79">
        <f t="shared" si="3"/>
        <v>-299.97722373835904</v>
      </c>
      <c r="L21" s="79">
        <f t="shared" si="3"/>
        <v>-297.51637095659845</v>
      </c>
      <c r="M21" s="79">
        <f t="shared" si="3"/>
        <v>-294.94510663701851</v>
      </c>
      <c r="N21" s="79">
        <f t="shared" si="3"/>
        <v>-291.94346772090438</v>
      </c>
      <c r="O21" s="79">
        <f t="shared" si="3"/>
        <v>-287.63337577438409</v>
      </c>
      <c r="P21" s="79" t="e">
        <f t="shared" si="3"/>
        <v>#DIV/0!</v>
      </c>
      <c r="Q21" s="79">
        <f t="shared" si="3"/>
        <v>-286.14184748549144</v>
      </c>
      <c r="R21" s="79">
        <f t="shared" si="3"/>
        <v>-288.92976072442713</v>
      </c>
      <c r="S21" s="79">
        <f t="shared" si="4"/>
        <v>-290.3439640080702</v>
      </c>
      <c r="T21" s="79">
        <f t="shared" si="4"/>
        <v>-291.21864659293271</v>
      </c>
      <c r="U21" s="79">
        <f t="shared" si="4"/>
        <v>-291.81155060257896</v>
      </c>
      <c r="V21" s="79">
        <f t="shared" si="4"/>
        <v>-292.23528367212162</v>
      </c>
      <c r="W21" s="79">
        <f t="shared" si="4"/>
        <v>-292.54851689179463</v>
      </c>
      <c r="X21" s="79">
        <f t="shared" si="4"/>
        <v>-292.78534191368686</v>
      </c>
      <c r="Y21" s="79">
        <f t="shared" si="4"/>
        <v>-292.96710751551029</v>
      </c>
      <c r="Z21" s="79">
        <f t="shared" si="4"/>
        <v>-293.107935552622</v>
      </c>
    </row>
    <row r="22" spans="1:26" x14ac:dyDescent="0.35">
      <c r="A22" s="2">
        <v>0.2</v>
      </c>
      <c r="B22" s="79" t="e">
        <f t="shared" si="5"/>
        <v>#NUM!</v>
      </c>
      <c r="C22" s="79">
        <f t="shared" si="3"/>
        <v>-431.74094599642001</v>
      </c>
      <c r="D22" s="79">
        <f t="shared" si="3"/>
        <v>-397.51201406110835</v>
      </c>
      <c r="E22" s="79">
        <f t="shared" si="3"/>
        <v>-363.28211071937346</v>
      </c>
      <c r="F22" s="79">
        <f t="shared" si="3"/>
        <v>-328.95407239922474</v>
      </c>
      <c r="G22" s="79">
        <f t="shared" si="3"/>
        <v>-316.56960827341862</v>
      </c>
      <c r="H22" s="79">
        <f t="shared" si="3"/>
        <v>-310.8340102316813</v>
      </c>
      <c r="I22" s="79">
        <f t="shared" si="3"/>
        <v>-307.15863595622898</v>
      </c>
      <c r="J22" s="79">
        <f t="shared" si="3"/>
        <v>-304.2565379971615</v>
      </c>
      <c r="K22" s="79">
        <f t="shared" si="3"/>
        <v>-301.69454578479332</v>
      </c>
      <c r="L22" s="79">
        <f t="shared" si="3"/>
        <v>-299.23369300303267</v>
      </c>
      <c r="M22" s="79">
        <f t="shared" si="3"/>
        <v>-296.66242868345273</v>
      </c>
      <c r="N22" s="79">
        <f t="shared" si="3"/>
        <v>-293.66078976733866</v>
      </c>
      <c r="O22" s="79">
        <f t="shared" si="3"/>
        <v>-289.35069782081837</v>
      </c>
      <c r="P22" s="79" t="e">
        <f t="shared" si="3"/>
        <v>#DIV/0!</v>
      </c>
      <c r="Q22" s="79">
        <f t="shared" si="3"/>
        <v>-287.85916953192572</v>
      </c>
      <c r="R22" s="79">
        <f t="shared" si="3"/>
        <v>-290.64708277086135</v>
      </c>
      <c r="S22" s="79">
        <f t="shared" si="4"/>
        <v>-292.06128605450448</v>
      </c>
      <c r="T22" s="79">
        <f t="shared" si="4"/>
        <v>-292.93596863936693</v>
      </c>
      <c r="U22" s="79">
        <f t="shared" si="4"/>
        <v>-293.52887264901324</v>
      </c>
      <c r="V22" s="79">
        <f t="shared" si="4"/>
        <v>-293.9526057185559</v>
      </c>
      <c r="W22" s="79">
        <f t="shared" si="4"/>
        <v>-294.26583893822891</v>
      </c>
      <c r="X22" s="79">
        <f t="shared" si="4"/>
        <v>-294.50266396012114</v>
      </c>
      <c r="Y22" s="79">
        <f t="shared" si="4"/>
        <v>-294.68442956194457</v>
      </c>
      <c r="Z22" s="79">
        <f t="shared" si="4"/>
        <v>-294.82525759905627</v>
      </c>
    </row>
    <row r="23" spans="1:26" x14ac:dyDescent="0.35">
      <c r="A23" s="2">
        <v>0.3</v>
      </c>
      <c r="B23" s="79" t="e">
        <f t="shared" si="5"/>
        <v>#NUM!</v>
      </c>
      <c r="C23" s="79">
        <f t="shared" si="3"/>
        <v>-432.7455149952458</v>
      </c>
      <c r="D23" s="79">
        <f t="shared" si="3"/>
        <v>-398.51658305993408</v>
      </c>
      <c r="E23" s="79">
        <f t="shared" si="3"/>
        <v>-364.28667971819925</v>
      </c>
      <c r="F23" s="79">
        <f t="shared" si="3"/>
        <v>-329.95864139805053</v>
      </c>
      <c r="G23" s="79">
        <f t="shared" si="3"/>
        <v>-317.57417727224436</v>
      </c>
      <c r="H23" s="79">
        <f t="shared" si="3"/>
        <v>-311.83857923050709</v>
      </c>
      <c r="I23" s="79">
        <f t="shared" si="3"/>
        <v>-308.16320495505471</v>
      </c>
      <c r="J23" s="79">
        <f t="shared" si="3"/>
        <v>-305.26110699598729</v>
      </c>
      <c r="K23" s="79">
        <f t="shared" si="3"/>
        <v>-302.69911478361911</v>
      </c>
      <c r="L23" s="79">
        <f t="shared" si="3"/>
        <v>-300.23826200185846</v>
      </c>
      <c r="M23" s="79">
        <f t="shared" si="3"/>
        <v>-297.66699768227852</v>
      </c>
      <c r="N23" s="79">
        <f t="shared" si="3"/>
        <v>-294.66535876616439</v>
      </c>
      <c r="O23" s="79">
        <f t="shared" si="3"/>
        <v>-290.3552668196441</v>
      </c>
      <c r="P23" s="79" t="e">
        <f t="shared" si="3"/>
        <v>#DIV/0!</v>
      </c>
      <c r="Q23" s="79">
        <f t="shared" si="3"/>
        <v>-288.86373853075145</v>
      </c>
      <c r="R23" s="79">
        <f t="shared" si="3"/>
        <v>-291.65165176968713</v>
      </c>
      <c r="S23" s="79">
        <f t="shared" si="4"/>
        <v>-293.06585505333027</v>
      </c>
      <c r="T23" s="79">
        <f t="shared" si="4"/>
        <v>-293.94053763819272</v>
      </c>
      <c r="U23" s="79">
        <f t="shared" si="4"/>
        <v>-294.53344164783903</v>
      </c>
      <c r="V23" s="79">
        <f t="shared" si="4"/>
        <v>-294.95717471738169</v>
      </c>
      <c r="W23" s="79">
        <f t="shared" si="4"/>
        <v>-295.27040793705464</v>
      </c>
      <c r="X23" s="79">
        <f t="shared" si="4"/>
        <v>-295.50723295894693</v>
      </c>
      <c r="Y23" s="79">
        <f t="shared" si="4"/>
        <v>-295.6889985607703</v>
      </c>
      <c r="Z23" s="79">
        <f t="shared" si="4"/>
        <v>-295.82982659788206</v>
      </c>
    </row>
    <row r="24" spans="1:26" x14ac:dyDescent="0.35">
      <c r="A24" s="2">
        <v>0.4</v>
      </c>
      <c r="B24" s="79" t="e">
        <f t="shared" si="5"/>
        <v>#NUM!</v>
      </c>
      <c r="C24" s="79">
        <f t="shared" si="3"/>
        <v>-433.45826804285429</v>
      </c>
      <c r="D24" s="79">
        <f t="shared" si="3"/>
        <v>-399.22933610754262</v>
      </c>
      <c r="E24" s="79">
        <f t="shared" si="3"/>
        <v>-364.9994327658078</v>
      </c>
      <c r="F24" s="79">
        <f t="shared" si="3"/>
        <v>-330.67139444565902</v>
      </c>
      <c r="G24" s="79">
        <f t="shared" si="3"/>
        <v>-318.2869303198529</v>
      </c>
      <c r="H24" s="79">
        <f t="shared" si="3"/>
        <v>-312.55133227811558</v>
      </c>
      <c r="I24" s="79">
        <f t="shared" si="3"/>
        <v>-308.87595800266325</v>
      </c>
      <c r="J24" s="79">
        <f t="shared" si="3"/>
        <v>-305.97386004359578</v>
      </c>
      <c r="K24" s="79">
        <f t="shared" si="3"/>
        <v>-303.4118678312276</v>
      </c>
      <c r="L24" s="79">
        <f t="shared" si="3"/>
        <v>-300.95101504946695</v>
      </c>
      <c r="M24" s="79">
        <f t="shared" si="3"/>
        <v>-298.37975072988701</v>
      </c>
      <c r="N24" s="79">
        <f t="shared" si="3"/>
        <v>-295.37811181377293</v>
      </c>
      <c r="O24" s="79">
        <f t="shared" si="3"/>
        <v>-291.06801986725264</v>
      </c>
      <c r="P24" s="79" t="e">
        <f t="shared" si="3"/>
        <v>#DIV/0!</v>
      </c>
      <c r="Q24" s="79">
        <f t="shared" si="3"/>
        <v>-289.57649157835999</v>
      </c>
      <c r="R24" s="79">
        <f t="shared" si="3"/>
        <v>-292.36440481729562</v>
      </c>
      <c r="S24" s="79">
        <f t="shared" si="4"/>
        <v>-293.77860810093875</v>
      </c>
      <c r="T24" s="79">
        <f t="shared" si="4"/>
        <v>-294.65329068580121</v>
      </c>
      <c r="U24" s="79">
        <f t="shared" si="4"/>
        <v>-295.24619469544751</v>
      </c>
      <c r="V24" s="79">
        <f t="shared" si="4"/>
        <v>-295.66992776499018</v>
      </c>
      <c r="W24" s="79">
        <f t="shared" si="4"/>
        <v>-295.98316098466319</v>
      </c>
      <c r="X24" s="79">
        <f t="shared" si="4"/>
        <v>-296.21998600655542</v>
      </c>
      <c r="Y24" s="79">
        <f t="shared" si="4"/>
        <v>-296.40175160837879</v>
      </c>
      <c r="Z24" s="79">
        <f t="shared" si="4"/>
        <v>-296.54257964549055</v>
      </c>
    </row>
    <row r="25" spans="1:26" x14ac:dyDescent="0.35">
      <c r="A25" s="2">
        <v>0.5</v>
      </c>
      <c r="B25" s="79" t="e">
        <f t="shared" si="5"/>
        <v>#NUM!</v>
      </c>
      <c r="C25" s="79">
        <f t="shared" si="3"/>
        <v>-434.01112225757095</v>
      </c>
      <c r="D25" s="79">
        <f t="shared" si="3"/>
        <v>-399.78219032225928</v>
      </c>
      <c r="E25" s="79">
        <f t="shared" si="3"/>
        <v>-365.5522869805244</v>
      </c>
      <c r="F25" s="79">
        <f t="shared" si="3"/>
        <v>-331.22424866037568</v>
      </c>
      <c r="G25" s="79">
        <f t="shared" si="3"/>
        <v>-318.8397845345695</v>
      </c>
      <c r="H25" s="79">
        <f t="shared" si="3"/>
        <v>-313.10418649283224</v>
      </c>
      <c r="I25" s="79">
        <f t="shared" si="3"/>
        <v>-309.42881221737991</v>
      </c>
      <c r="J25" s="79">
        <f t="shared" si="3"/>
        <v>-306.52671425831244</v>
      </c>
      <c r="K25" s="79">
        <f t="shared" si="3"/>
        <v>-303.96472204594426</v>
      </c>
      <c r="L25" s="79">
        <f t="shared" si="3"/>
        <v>-301.50386926418361</v>
      </c>
      <c r="M25" s="79">
        <f t="shared" si="3"/>
        <v>-298.93260494460367</v>
      </c>
      <c r="N25" s="79">
        <f t="shared" si="3"/>
        <v>-295.93096602848959</v>
      </c>
      <c r="O25" s="79">
        <f t="shared" si="3"/>
        <v>-291.62087408196925</v>
      </c>
      <c r="P25" s="79" t="e">
        <f t="shared" si="3"/>
        <v>#DIV/0!</v>
      </c>
      <c r="Q25" s="79">
        <f t="shared" si="3"/>
        <v>-290.1293457930766</v>
      </c>
      <c r="R25" s="79">
        <f t="shared" si="3"/>
        <v>-292.91725903201228</v>
      </c>
      <c r="S25" s="79">
        <f t="shared" si="4"/>
        <v>-294.33146231565541</v>
      </c>
      <c r="T25" s="79">
        <f t="shared" si="4"/>
        <v>-295.20614490051787</v>
      </c>
      <c r="U25" s="79">
        <f t="shared" si="4"/>
        <v>-295.79904891016417</v>
      </c>
      <c r="V25" s="79">
        <f t="shared" si="4"/>
        <v>-296.22278197970684</v>
      </c>
      <c r="W25" s="79">
        <f t="shared" si="4"/>
        <v>-296.53601519937985</v>
      </c>
      <c r="X25" s="79">
        <f t="shared" si="4"/>
        <v>-296.77284022127208</v>
      </c>
      <c r="Y25" s="79">
        <f t="shared" si="4"/>
        <v>-296.95460582309545</v>
      </c>
      <c r="Z25" s="79">
        <f t="shared" si="4"/>
        <v>-297.09543386020721</v>
      </c>
    </row>
    <row r="26" spans="1:26" x14ac:dyDescent="0.35">
      <c r="A26" s="2">
        <v>0.6</v>
      </c>
      <c r="B26" s="79" t="e">
        <f t="shared" si="5"/>
        <v>#NUM!</v>
      </c>
      <c r="C26" s="79">
        <f t="shared" si="3"/>
        <v>-434.46283704168007</v>
      </c>
      <c r="D26" s="79">
        <f t="shared" si="3"/>
        <v>-400.23390510636835</v>
      </c>
      <c r="E26" s="79">
        <f t="shared" si="3"/>
        <v>-366.00400176463353</v>
      </c>
      <c r="F26" s="79">
        <f t="shared" si="3"/>
        <v>-331.67596344448481</v>
      </c>
      <c r="G26" s="79">
        <f t="shared" si="3"/>
        <v>-319.29149931867863</v>
      </c>
      <c r="H26" s="79">
        <f t="shared" si="3"/>
        <v>-313.55590127694131</v>
      </c>
      <c r="I26" s="79">
        <f t="shared" si="3"/>
        <v>-309.88052700148899</v>
      </c>
      <c r="J26" s="79">
        <f t="shared" si="3"/>
        <v>-306.97842904242151</v>
      </c>
      <c r="K26" s="79">
        <f t="shared" si="3"/>
        <v>-304.41643683005339</v>
      </c>
      <c r="L26" s="79">
        <f t="shared" si="3"/>
        <v>-301.95558404829274</v>
      </c>
      <c r="M26" s="79">
        <f t="shared" si="3"/>
        <v>-299.3843197287128</v>
      </c>
      <c r="N26" s="79">
        <f t="shared" si="3"/>
        <v>-296.38268081259866</v>
      </c>
      <c r="O26" s="79">
        <f t="shared" si="3"/>
        <v>-292.07258886607838</v>
      </c>
      <c r="P26" s="79" t="e">
        <f t="shared" si="3"/>
        <v>#DIV/0!</v>
      </c>
      <c r="Q26" s="79">
        <f t="shared" si="3"/>
        <v>-290.58106057718572</v>
      </c>
      <c r="R26" s="79">
        <f t="shared" si="3"/>
        <v>-293.36897381612141</v>
      </c>
      <c r="S26" s="79">
        <f t="shared" si="4"/>
        <v>-294.78317709976449</v>
      </c>
      <c r="T26" s="79">
        <f t="shared" si="4"/>
        <v>-295.657859684627</v>
      </c>
      <c r="U26" s="79">
        <f t="shared" si="4"/>
        <v>-296.2507636942733</v>
      </c>
      <c r="V26" s="79">
        <f t="shared" si="4"/>
        <v>-296.67449676381597</v>
      </c>
      <c r="W26" s="79">
        <f t="shared" si="4"/>
        <v>-296.98772998348892</v>
      </c>
      <c r="X26" s="79">
        <f t="shared" si="4"/>
        <v>-297.22455500538115</v>
      </c>
      <c r="Y26" s="79">
        <f t="shared" si="4"/>
        <v>-297.40632060720458</v>
      </c>
      <c r="Z26" s="79">
        <f t="shared" si="4"/>
        <v>-297.54714864431628</v>
      </c>
    </row>
    <row r="27" spans="1:26" x14ac:dyDescent="0.35">
      <c r="A27" s="2">
        <v>0.7</v>
      </c>
      <c r="B27" s="79" t="e">
        <f t="shared" si="5"/>
        <v>#NUM!</v>
      </c>
      <c r="C27" s="79">
        <f t="shared" si="3"/>
        <v>-434.84475644980103</v>
      </c>
      <c r="D27" s="79">
        <f t="shared" si="3"/>
        <v>-400.61582451448936</v>
      </c>
      <c r="E27" s="79">
        <f t="shared" si="3"/>
        <v>-366.38592117275448</v>
      </c>
      <c r="F27" s="79">
        <f t="shared" si="3"/>
        <v>-332.05788285260576</v>
      </c>
      <c r="G27" s="79">
        <f t="shared" si="3"/>
        <v>-319.67341872679964</v>
      </c>
      <c r="H27" s="79">
        <f t="shared" si="3"/>
        <v>-313.93782068506232</v>
      </c>
      <c r="I27" s="79">
        <f t="shared" si="3"/>
        <v>-310.26244640960999</v>
      </c>
      <c r="J27" s="79">
        <f t="shared" si="3"/>
        <v>-307.36034845054252</v>
      </c>
      <c r="K27" s="79">
        <f t="shared" si="3"/>
        <v>-304.79835623817434</v>
      </c>
      <c r="L27" s="79">
        <f t="shared" si="3"/>
        <v>-302.33750345641369</v>
      </c>
      <c r="M27" s="79">
        <f t="shared" si="3"/>
        <v>-299.76623913683375</v>
      </c>
      <c r="N27" s="79">
        <f t="shared" si="3"/>
        <v>-296.76460022071967</v>
      </c>
      <c r="O27" s="79">
        <f t="shared" si="3"/>
        <v>-292.45450827419938</v>
      </c>
      <c r="P27" s="79" t="e">
        <f t="shared" si="3"/>
        <v>#DIV/0!</v>
      </c>
      <c r="Q27" s="79">
        <f t="shared" si="3"/>
        <v>-290.96297998530673</v>
      </c>
      <c r="R27" s="79">
        <f t="shared" si="3"/>
        <v>-293.75089322424236</v>
      </c>
      <c r="S27" s="79">
        <f t="shared" si="4"/>
        <v>-295.16509650788549</v>
      </c>
      <c r="T27" s="79">
        <f t="shared" si="4"/>
        <v>-296.03977909274795</v>
      </c>
      <c r="U27" s="79">
        <f t="shared" si="4"/>
        <v>-296.63268310239425</v>
      </c>
      <c r="V27" s="79">
        <f t="shared" si="4"/>
        <v>-297.05641617193692</v>
      </c>
      <c r="W27" s="79">
        <f t="shared" si="4"/>
        <v>-297.36964939160993</v>
      </c>
      <c r="X27" s="79">
        <f t="shared" si="4"/>
        <v>-297.60647441350216</v>
      </c>
      <c r="Y27" s="79">
        <f t="shared" si="4"/>
        <v>-297.78824001532553</v>
      </c>
      <c r="Z27" s="79">
        <f t="shared" si="4"/>
        <v>-297.92906805243729</v>
      </c>
    </row>
    <row r="28" spans="1:26" x14ac:dyDescent="0.35">
      <c r="A28" s="2">
        <v>0.8</v>
      </c>
      <c r="B28" s="79" t="e">
        <f t="shared" si="5"/>
        <v>#NUM!</v>
      </c>
      <c r="C28" s="79">
        <f t="shared" si="3"/>
        <v>-435.17559008928856</v>
      </c>
      <c r="D28" s="79">
        <f t="shared" si="3"/>
        <v>-400.94665815397684</v>
      </c>
      <c r="E28" s="79">
        <f t="shared" si="3"/>
        <v>-366.71675481224202</v>
      </c>
      <c r="F28" s="79">
        <f t="shared" si="3"/>
        <v>-332.38871649209329</v>
      </c>
      <c r="G28" s="79">
        <f t="shared" si="3"/>
        <v>-320.00425236628712</v>
      </c>
      <c r="H28" s="79">
        <f t="shared" si="3"/>
        <v>-314.26865432454986</v>
      </c>
      <c r="I28" s="79">
        <f t="shared" si="3"/>
        <v>-310.59328004909753</v>
      </c>
      <c r="J28" s="79">
        <f t="shared" si="3"/>
        <v>-307.69118209003005</v>
      </c>
      <c r="K28" s="79">
        <f t="shared" si="3"/>
        <v>-305.12918987766187</v>
      </c>
      <c r="L28" s="79">
        <f t="shared" si="3"/>
        <v>-302.66833709590122</v>
      </c>
      <c r="M28" s="79">
        <f t="shared" si="3"/>
        <v>-300.09707277632128</v>
      </c>
      <c r="N28" s="79">
        <f t="shared" si="3"/>
        <v>-297.09543386020721</v>
      </c>
      <c r="O28" s="79">
        <f t="shared" si="3"/>
        <v>-292.78534191368686</v>
      </c>
      <c r="P28" s="79" t="e">
        <f t="shared" si="3"/>
        <v>#DIV/0!</v>
      </c>
      <c r="Q28" s="79">
        <f t="shared" si="3"/>
        <v>-291.29381362479421</v>
      </c>
      <c r="R28" s="79">
        <f t="shared" si="3"/>
        <v>-294.0817268637299</v>
      </c>
      <c r="S28" s="79">
        <f t="shared" si="4"/>
        <v>-295.49593014737303</v>
      </c>
      <c r="T28" s="79">
        <f t="shared" si="4"/>
        <v>-296.37061273223549</v>
      </c>
      <c r="U28" s="79">
        <f t="shared" si="4"/>
        <v>-296.96351674188179</v>
      </c>
      <c r="V28" s="79">
        <f t="shared" si="4"/>
        <v>-297.38724981142445</v>
      </c>
      <c r="W28" s="79">
        <f t="shared" si="4"/>
        <v>-297.70048303109746</v>
      </c>
      <c r="X28" s="79">
        <f t="shared" si="4"/>
        <v>-297.93730805298969</v>
      </c>
      <c r="Y28" s="79">
        <f t="shared" si="4"/>
        <v>-298.11907365481306</v>
      </c>
      <c r="Z28" s="79">
        <f t="shared" si="4"/>
        <v>-298.25990169192482</v>
      </c>
    </row>
    <row r="29" spans="1:26" x14ac:dyDescent="0.35">
      <c r="A29" s="2">
        <v>0.9</v>
      </c>
      <c r="B29" s="79" t="e">
        <f t="shared" si="5"/>
        <v>#NUM!</v>
      </c>
      <c r="C29" s="79">
        <f t="shared" si="3"/>
        <v>-435.46740604050581</v>
      </c>
      <c r="D29" s="79">
        <f t="shared" si="3"/>
        <v>-401.23847410519414</v>
      </c>
      <c r="E29" s="79">
        <f t="shared" si="3"/>
        <v>-367.00857076345926</v>
      </c>
      <c r="F29" s="79">
        <f t="shared" si="3"/>
        <v>-332.68053244331054</v>
      </c>
      <c r="G29" s="79">
        <f t="shared" si="3"/>
        <v>-320.29606831750442</v>
      </c>
      <c r="H29" s="79">
        <f t="shared" si="3"/>
        <v>-314.5604702757671</v>
      </c>
      <c r="I29" s="79">
        <f t="shared" si="3"/>
        <v>-310.88509600031477</v>
      </c>
      <c r="J29" s="79">
        <f t="shared" si="3"/>
        <v>-307.9829980412473</v>
      </c>
      <c r="K29" s="79">
        <f t="shared" si="3"/>
        <v>-305.42100582887912</v>
      </c>
      <c r="L29" s="79">
        <f t="shared" si="3"/>
        <v>-302.96015304711847</v>
      </c>
      <c r="M29" s="79">
        <f t="shared" si="3"/>
        <v>-300.38888872753853</v>
      </c>
      <c r="N29" s="79">
        <f t="shared" si="3"/>
        <v>-297.38724981142445</v>
      </c>
      <c r="O29" s="79">
        <f t="shared" si="3"/>
        <v>-293.07715786490417</v>
      </c>
      <c r="P29" s="79" t="e">
        <f t="shared" si="3"/>
        <v>#DIV/0!</v>
      </c>
      <c r="Q29" s="79">
        <f t="shared" si="3"/>
        <v>-291.58562957601151</v>
      </c>
      <c r="R29" s="79">
        <f t="shared" si="3"/>
        <v>-294.37354281494714</v>
      </c>
      <c r="S29" s="79">
        <f t="shared" si="4"/>
        <v>-295.78774609859028</v>
      </c>
      <c r="T29" s="79">
        <f t="shared" si="4"/>
        <v>-296.66242868345273</v>
      </c>
      <c r="U29" s="79">
        <f t="shared" si="4"/>
        <v>-297.25533269309904</v>
      </c>
      <c r="V29" s="79">
        <f t="shared" si="4"/>
        <v>-297.6790657626417</v>
      </c>
      <c r="W29" s="79">
        <f t="shared" si="4"/>
        <v>-297.99229898231471</v>
      </c>
      <c r="X29" s="79">
        <f t="shared" si="4"/>
        <v>-298.22912400420694</v>
      </c>
      <c r="Y29" s="79">
        <f t="shared" si="4"/>
        <v>-298.41088960603031</v>
      </c>
      <c r="Z29" s="79">
        <f t="shared" si="4"/>
        <v>-298.55171764314207</v>
      </c>
    </row>
    <row r="30" spans="1:26" x14ac:dyDescent="0.35">
      <c r="A30" s="2">
        <v>1</v>
      </c>
      <c r="B30" s="79" t="e">
        <f t="shared" si="5"/>
        <v>#NUM!</v>
      </c>
      <c r="C30" s="79">
        <f t="shared" si="3"/>
        <v>-435.72844430400522</v>
      </c>
      <c r="D30" s="79">
        <f t="shared" si="3"/>
        <v>-401.4995123686935</v>
      </c>
      <c r="E30" s="79">
        <f t="shared" si="3"/>
        <v>-367.26960902695868</v>
      </c>
      <c r="F30" s="79">
        <f t="shared" si="3"/>
        <v>-332.94157070680996</v>
      </c>
      <c r="G30" s="79">
        <f t="shared" si="3"/>
        <v>-320.55710658100378</v>
      </c>
      <c r="H30" s="79">
        <f t="shared" si="3"/>
        <v>-314.82150853926646</v>
      </c>
      <c r="I30" s="79">
        <f t="shared" si="3"/>
        <v>-311.14613426381413</v>
      </c>
      <c r="J30" s="79">
        <f t="shared" si="3"/>
        <v>-308.24403630474666</v>
      </c>
      <c r="K30" s="79">
        <f t="shared" si="3"/>
        <v>-305.68204409237853</v>
      </c>
      <c r="L30" s="79">
        <f t="shared" si="3"/>
        <v>-303.22119131061788</v>
      </c>
      <c r="M30" s="79">
        <f t="shared" si="3"/>
        <v>-300.64992699103794</v>
      </c>
      <c r="N30" s="79">
        <f t="shared" si="3"/>
        <v>-297.64828807492381</v>
      </c>
      <c r="O30" s="79">
        <f t="shared" si="3"/>
        <v>-293.33819612840352</v>
      </c>
      <c r="P30" s="79" t="e">
        <f t="shared" si="3"/>
        <v>#DIV/0!</v>
      </c>
      <c r="Q30" s="79">
        <f t="shared" si="3"/>
        <v>-291.84666783951087</v>
      </c>
      <c r="R30" s="79">
        <f t="shared" si="3"/>
        <v>-294.63458107844656</v>
      </c>
      <c r="S30" s="79">
        <f t="shared" si="4"/>
        <v>-296.04878436208963</v>
      </c>
      <c r="T30" s="79">
        <f t="shared" si="4"/>
        <v>-296.92346694695215</v>
      </c>
      <c r="U30" s="79">
        <f t="shared" si="4"/>
        <v>-297.51637095659845</v>
      </c>
      <c r="V30" s="79">
        <f t="shared" si="4"/>
        <v>-297.94010402614111</v>
      </c>
      <c r="W30" s="79">
        <f t="shared" si="4"/>
        <v>-298.25333724581407</v>
      </c>
      <c r="X30" s="79">
        <f t="shared" si="4"/>
        <v>-298.49016226770635</v>
      </c>
      <c r="Y30" s="79">
        <f t="shared" si="4"/>
        <v>-298.67192786952972</v>
      </c>
      <c r="Z30" s="79">
        <f t="shared" si="4"/>
        <v>-298.81275590664143</v>
      </c>
    </row>
    <row r="33" spans="1:26" x14ac:dyDescent="0.35">
      <c r="A33" s="2" t="s">
        <v>199</v>
      </c>
      <c r="B33" s="93" t="s">
        <v>177</v>
      </c>
      <c r="C33" s="93"/>
      <c r="D33" s="93"/>
      <c r="E33" s="93"/>
      <c r="F33" s="93"/>
      <c r="G33" s="93"/>
      <c r="H33" s="9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179</v>
      </c>
      <c r="B34" s="2">
        <v>0</v>
      </c>
      <c r="C34" s="2">
        <v>1E-8</v>
      </c>
      <c r="D34" s="2">
        <v>9.9999999999999995E-7</v>
      </c>
      <c r="E34" s="2">
        <v>1E-4</v>
      </c>
      <c r="F34" s="2">
        <v>0.01</v>
      </c>
      <c r="G34" s="2">
        <v>0.05</v>
      </c>
      <c r="H34" s="2">
        <v>0.1</v>
      </c>
      <c r="I34" s="2">
        <v>0.15</v>
      </c>
      <c r="J34" s="2">
        <v>0.2</v>
      </c>
      <c r="K34" s="2">
        <v>0.25</v>
      </c>
      <c r="L34" s="2">
        <v>0.3</v>
      </c>
      <c r="M34" s="2">
        <v>0.35</v>
      </c>
      <c r="N34" s="2">
        <v>0.4</v>
      </c>
      <c r="O34" s="2">
        <v>0.45</v>
      </c>
      <c r="P34" s="2">
        <v>0.5</v>
      </c>
      <c r="Q34" s="2">
        <v>0.55000000000000004</v>
      </c>
      <c r="R34" s="2">
        <v>0.6</v>
      </c>
      <c r="S34" s="2">
        <v>0.65</v>
      </c>
      <c r="T34" s="2">
        <v>0.7</v>
      </c>
      <c r="U34" s="2">
        <v>0.75</v>
      </c>
      <c r="V34" s="2">
        <v>0.8</v>
      </c>
      <c r="W34" s="2">
        <v>0.85</v>
      </c>
      <c r="X34" s="2">
        <v>0.9</v>
      </c>
      <c r="Y34" s="2">
        <v>0.95</v>
      </c>
      <c r="Z34" s="2">
        <v>1</v>
      </c>
    </row>
    <row r="35" spans="1:26" x14ac:dyDescent="0.35">
      <c r="A35" s="2">
        <v>0</v>
      </c>
      <c r="B35" s="79" t="e">
        <f>-302.24739999951+0.008314*298*LN((B$4*(3*B$4)^(3))/($A35*(1-3*B$4)^(3)))</f>
        <v>#DIV/0!</v>
      </c>
      <c r="C35" s="79" t="e">
        <f t="shared" ref="C35:R45" si="6">-302.24739999951+0.008314*298*LN((C$4*(3*C$4)^(3))/($A35*(1-3*C$4)^(3)))</f>
        <v>#DIV/0!</v>
      </c>
      <c r="D35" s="79" t="e">
        <f t="shared" si="6"/>
        <v>#DIV/0!</v>
      </c>
      <c r="E35" s="79" t="e">
        <f t="shared" si="6"/>
        <v>#DIV/0!</v>
      </c>
      <c r="F35" s="79" t="e">
        <f t="shared" si="6"/>
        <v>#DIV/0!</v>
      </c>
      <c r="G35" s="79" t="e">
        <f t="shared" si="6"/>
        <v>#DIV/0!</v>
      </c>
      <c r="H35" s="79" t="e">
        <f t="shared" si="6"/>
        <v>#DIV/0!</v>
      </c>
      <c r="I35" s="79" t="e">
        <f t="shared" si="6"/>
        <v>#DIV/0!</v>
      </c>
      <c r="J35" s="79" t="e">
        <f t="shared" si="6"/>
        <v>#DIV/0!</v>
      </c>
      <c r="K35" s="79" t="e">
        <f t="shared" si="6"/>
        <v>#DIV/0!</v>
      </c>
      <c r="L35" s="79" t="e">
        <f t="shared" si="6"/>
        <v>#DIV/0!</v>
      </c>
      <c r="M35" s="79" t="e">
        <f t="shared" si="6"/>
        <v>#DIV/0!</v>
      </c>
      <c r="N35" s="79" t="e">
        <f t="shared" si="6"/>
        <v>#DIV/0!</v>
      </c>
      <c r="O35" s="79" t="e">
        <f t="shared" si="6"/>
        <v>#DIV/0!</v>
      </c>
      <c r="P35" s="79" t="e">
        <f t="shared" si="6"/>
        <v>#DIV/0!</v>
      </c>
      <c r="Q35" s="79" t="e">
        <f t="shared" si="6"/>
        <v>#DIV/0!</v>
      </c>
      <c r="R35" s="79" t="e">
        <f t="shared" si="6"/>
        <v>#DIV/0!</v>
      </c>
      <c r="S35" s="79" t="e">
        <f t="shared" ref="S35:Z45" si="7">-302.24739999951+0.008314*298*LN((S$4*(3*S$4)^(3))/($A35*(1-3*S$4)^(3)))</f>
        <v>#DIV/0!</v>
      </c>
      <c r="T35" s="79" t="e">
        <f t="shared" si="7"/>
        <v>#DIV/0!</v>
      </c>
      <c r="U35" s="79" t="e">
        <f t="shared" si="7"/>
        <v>#DIV/0!</v>
      </c>
      <c r="V35" s="79" t="e">
        <f t="shared" si="7"/>
        <v>#DIV/0!</v>
      </c>
      <c r="W35" s="79" t="e">
        <f t="shared" si="7"/>
        <v>#DIV/0!</v>
      </c>
      <c r="X35" s="79" t="e">
        <f t="shared" si="7"/>
        <v>#DIV/0!</v>
      </c>
      <c r="Y35" s="79" t="e">
        <f t="shared" si="7"/>
        <v>#DIV/0!</v>
      </c>
      <c r="Z35" s="79" t="e">
        <f t="shared" si="7"/>
        <v>#DIV/0!</v>
      </c>
    </row>
    <row r="36" spans="1:26" x14ac:dyDescent="0.35">
      <c r="A36" s="2">
        <v>0.1</v>
      </c>
      <c r="B36" s="79" t="e">
        <f t="shared" ref="B36:B45" si="8">-302.24739999951+0.008314*298*LN((B$4*(3*B$4)^(3))/($A36*(1-3*B$4)^(3)))</f>
        <v>#NUM!</v>
      </c>
      <c r="C36" s="79">
        <f t="shared" si="6"/>
        <v>-470.93115761535114</v>
      </c>
      <c r="D36" s="79">
        <f t="shared" si="6"/>
        <v>-425.29257270799565</v>
      </c>
      <c r="E36" s="79">
        <f t="shared" si="6"/>
        <v>-379.65180202468241</v>
      </c>
      <c r="F36" s="79">
        <f t="shared" si="6"/>
        <v>-333.78907470304711</v>
      </c>
      <c r="G36" s="79">
        <f t="shared" si="6"/>
        <v>-316.85751906394432</v>
      </c>
      <c r="H36" s="79">
        <f t="shared" si="6"/>
        <v>-308.54512436317572</v>
      </c>
      <c r="I36" s="79">
        <f t="shared" si="6"/>
        <v>-302.7343592895769</v>
      </c>
      <c r="J36" s="79">
        <f t="shared" si="6"/>
        <v>-297.51637095659845</v>
      </c>
      <c r="K36" s="79">
        <f t="shared" si="6"/>
        <v>-291.81155060257896</v>
      </c>
      <c r="L36" s="79">
        <f t="shared" si="6"/>
        <v>-283.19416268268981</v>
      </c>
      <c r="M36" s="79" t="e">
        <f t="shared" si="6"/>
        <v>#NUM!</v>
      </c>
      <c r="N36" s="79" t="e">
        <f t="shared" si="6"/>
        <v>#NUM!</v>
      </c>
      <c r="O36" s="79" t="e">
        <f t="shared" si="6"/>
        <v>#NUM!</v>
      </c>
      <c r="P36" s="79" t="e">
        <f t="shared" si="6"/>
        <v>#NUM!</v>
      </c>
      <c r="Q36" s="79" t="e">
        <f t="shared" si="6"/>
        <v>#NUM!</v>
      </c>
      <c r="R36" s="79" t="e">
        <f t="shared" si="6"/>
        <v>#NUM!</v>
      </c>
      <c r="S36" s="79" t="e">
        <f t="shared" si="7"/>
        <v>#NUM!</v>
      </c>
      <c r="T36" s="79" t="e">
        <f t="shared" si="7"/>
        <v>#NUM!</v>
      </c>
      <c r="U36" s="79" t="e">
        <f t="shared" si="7"/>
        <v>#NUM!</v>
      </c>
      <c r="V36" s="79" t="e">
        <f t="shared" si="7"/>
        <v>#NUM!</v>
      </c>
      <c r="W36" s="79" t="e">
        <f t="shared" si="7"/>
        <v>#NUM!</v>
      </c>
      <c r="X36" s="79" t="e">
        <f t="shared" si="7"/>
        <v>#NUM!</v>
      </c>
      <c r="Y36" s="79" t="e">
        <f t="shared" si="7"/>
        <v>#NUM!</v>
      </c>
      <c r="Z36" s="79" t="e">
        <f t="shared" si="7"/>
        <v>#NUM!</v>
      </c>
    </row>
    <row r="37" spans="1:26" x14ac:dyDescent="0.35">
      <c r="A37" s="2">
        <v>0.2</v>
      </c>
      <c r="B37" s="79" t="e">
        <f t="shared" si="8"/>
        <v>#NUM!</v>
      </c>
      <c r="C37" s="79">
        <f t="shared" si="6"/>
        <v>-472.64847966178542</v>
      </c>
      <c r="D37" s="79">
        <f t="shared" si="6"/>
        <v>-427.00989475442992</v>
      </c>
      <c r="E37" s="79">
        <f t="shared" si="6"/>
        <v>-381.36912407111669</v>
      </c>
      <c r="F37" s="79">
        <f t="shared" si="6"/>
        <v>-335.50639674948138</v>
      </c>
      <c r="G37" s="79">
        <f t="shared" si="6"/>
        <v>-318.57484111037854</v>
      </c>
      <c r="H37" s="79">
        <f t="shared" si="6"/>
        <v>-310.26244640960999</v>
      </c>
      <c r="I37" s="79">
        <f t="shared" si="6"/>
        <v>-304.45168133601112</v>
      </c>
      <c r="J37" s="79">
        <f t="shared" si="6"/>
        <v>-299.23369300303267</v>
      </c>
      <c r="K37" s="79">
        <f t="shared" si="6"/>
        <v>-293.52887264901324</v>
      </c>
      <c r="L37" s="79">
        <f t="shared" si="6"/>
        <v>-284.91148472912408</v>
      </c>
      <c r="M37" s="79" t="e">
        <f t="shared" si="6"/>
        <v>#NUM!</v>
      </c>
      <c r="N37" s="79" t="e">
        <f t="shared" si="6"/>
        <v>#NUM!</v>
      </c>
      <c r="O37" s="79" t="e">
        <f t="shared" si="6"/>
        <v>#NUM!</v>
      </c>
      <c r="P37" s="79" t="e">
        <f t="shared" si="6"/>
        <v>#NUM!</v>
      </c>
      <c r="Q37" s="79" t="e">
        <f t="shared" si="6"/>
        <v>#NUM!</v>
      </c>
      <c r="R37" s="79" t="e">
        <f t="shared" si="6"/>
        <v>#NUM!</v>
      </c>
      <c r="S37" s="79" t="e">
        <f t="shared" si="7"/>
        <v>#NUM!</v>
      </c>
      <c r="T37" s="79" t="e">
        <f t="shared" si="7"/>
        <v>#NUM!</v>
      </c>
      <c r="U37" s="79" t="e">
        <f t="shared" si="7"/>
        <v>#NUM!</v>
      </c>
      <c r="V37" s="79" t="e">
        <f t="shared" si="7"/>
        <v>#NUM!</v>
      </c>
      <c r="W37" s="79" t="e">
        <f t="shared" si="7"/>
        <v>#NUM!</v>
      </c>
      <c r="X37" s="79" t="e">
        <f t="shared" si="7"/>
        <v>#NUM!</v>
      </c>
      <c r="Y37" s="79" t="e">
        <f t="shared" si="7"/>
        <v>#NUM!</v>
      </c>
      <c r="Z37" s="79" t="e">
        <f t="shared" si="7"/>
        <v>#NUM!</v>
      </c>
    </row>
    <row r="38" spans="1:26" x14ac:dyDescent="0.35">
      <c r="A38" s="2">
        <v>0.3</v>
      </c>
      <c r="B38" s="79" t="e">
        <f t="shared" si="8"/>
        <v>#NUM!</v>
      </c>
      <c r="C38" s="79">
        <f t="shared" si="6"/>
        <v>-473.65304866061115</v>
      </c>
      <c r="D38" s="79">
        <f t="shared" si="6"/>
        <v>-428.01446375325565</v>
      </c>
      <c r="E38" s="79">
        <f t="shared" si="6"/>
        <v>-382.37369306994242</v>
      </c>
      <c r="F38" s="79">
        <f t="shared" si="6"/>
        <v>-336.51096574830711</v>
      </c>
      <c r="G38" s="79">
        <f t="shared" si="6"/>
        <v>-319.57941010920433</v>
      </c>
      <c r="H38" s="79">
        <f t="shared" si="6"/>
        <v>-311.26701540843573</v>
      </c>
      <c r="I38" s="79">
        <f t="shared" si="6"/>
        <v>-305.45625033483691</v>
      </c>
      <c r="J38" s="79">
        <f t="shared" si="6"/>
        <v>-300.23826200185846</v>
      </c>
      <c r="K38" s="79">
        <f t="shared" si="6"/>
        <v>-294.53344164783903</v>
      </c>
      <c r="L38" s="79">
        <f t="shared" si="6"/>
        <v>-285.91605372794982</v>
      </c>
      <c r="M38" s="79" t="e">
        <f t="shared" si="6"/>
        <v>#NUM!</v>
      </c>
      <c r="N38" s="79" t="e">
        <f t="shared" si="6"/>
        <v>#NUM!</v>
      </c>
      <c r="O38" s="79" t="e">
        <f t="shared" si="6"/>
        <v>#NUM!</v>
      </c>
      <c r="P38" s="79" t="e">
        <f t="shared" si="6"/>
        <v>#NUM!</v>
      </c>
      <c r="Q38" s="79" t="e">
        <f t="shared" si="6"/>
        <v>#NUM!</v>
      </c>
      <c r="R38" s="79" t="e">
        <f t="shared" si="6"/>
        <v>#NUM!</v>
      </c>
      <c r="S38" s="79" t="e">
        <f t="shared" si="7"/>
        <v>#NUM!</v>
      </c>
      <c r="T38" s="79" t="e">
        <f t="shared" si="7"/>
        <v>#NUM!</v>
      </c>
      <c r="U38" s="79" t="e">
        <f t="shared" si="7"/>
        <v>#NUM!</v>
      </c>
      <c r="V38" s="79" t="e">
        <f t="shared" si="7"/>
        <v>#NUM!</v>
      </c>
      <c r="W38" s="79" t="e">
        <f t="shared" si="7"/>
        <v>#NUM!</v>
      </c>
      <c r="X38" s="79" t="e">
        <f t="shared" si="7"/>
        <v>#NUM!</v>
      </c>
      <c r="Y38" s="79" t="e">
        <f t="shared" si="7"/>
        <v>#NUM!</v>
      </c>
      <c r="Z38" s="79" t="e">
        <f t="shared" si="7"/>
        <v>#NUM!</v>
      </c>
    </row>
    <row r="39" spans="1:26" x14ac:dyDescent="0.35">
      <c r="A39" s="2">
        <v>0.4</v>
      </c>
      <c r="B39" s="79" t="e">
        <f t="shared" si="8"/>
        <v>#NUM!</v>
      </c>
      <c r="C39" s="79">
        <f t="shared" si="6"/>
        <v>-474.36580170821969</v>
      </c>
      <c r="D39" s="79">
        <f t="shared" si="6"/>
        <v>-428.7272168008642</v>
      </c>
      <c r="E39" s="79">
        <f t="shared" si="6"/>
        <v>-383.08644611755096</v>
      </c>
      <c r="F39" s="79">
        <f t="shared" si="6"/>
        <v>-337.2237187959156</v>
      </c>
      <c r="G39" s="79">
        <f t="shared" si="6"/>
        <v>-320.29216315681282</v>
      </c>
      <c r="H39" s="79">
        <f t="shared" si="6"/>
        <v>-311.97976845604427</v>
      </c>
      <c r="I39" s="79">
        <f t="shared" si="6"/>
        <v>-306.1690033824454</v>
      </c>
      <c r="J39" s="79">
        <f t="shared" si="6"/>
        <v>-300.95101504946695</v>
      </c>
      <c r="K39" s="79">
        <f t="shared" si="6"/>
        <v>-295.24619469544751</v>
      </c>
      <c r="L39" s="79">
        <f t="shared" si="6"/>
        <v>-286.62880677555836</v>
      </c>
      <c r="M39" s="79" t="e">
        <f t="shared" si="6"/>
        <v>#NUM!</v>
      </c>
      <c r="N39" s="79" t="e">
        <f t="shared" si="6"/>
        <v>#NUM!</v>
      </c>
      <c r="O39" s="79" t="e">
        <f t="shared" si="6"/>
        <v>#NUM!</v>
      </c>
      <c r="P39" s="79" t="e">
        <f t="shared" si="6"/>
        <v>#NUM!</v>
      </c>
      <c r="Q39" s="79" t="e">
        <f t="shared" si="6"/>
        <v>#NUM!</v>
      </c>
      <c r="R39" s="79" t="e">
        <f t="shared" si="6"/>
        <v>#NUM!</v>
      </c>
      <c r="S39" s="79" t="e">
        <f t="shared" si="7"/>
        <v>#NUM!</v>
      </c>
      <c r="T39" s="79" t="e">
        <f t="shared" si="7"/>
        <v>#NUM!</v>
      </c>
      <c r="U39" s="79" t="e">
        <f t="shared" si="7"/>
        <v>#NUM!</v>
      </c>
      <c r="V39" s="79" t="e">
        <f t="shared" si="7"/>
        <v>#NUM!</v>
      </c>
      <c r="W39" s="79" t="e">
        <f t="shared" si="7"/>
        <v>#NUM!</v>
      </c>
      <c r="X39" s="79" t="e">
        <f t="shared" si="7"/>
        <v>#NUM!</v>
      </c>
      <c r="Y39" s="79" t="e">
        <f t="shared" si="7"/>
        <v>#NUM!</v>
      </c>
      <c r="Z39" s="79" t="e">
        <f t="shared" si="7"/>
        <v>#NUM!</v>
      </c>
    </row>
    <row r="40" spans="1:26" x14ac:dyDescent="0.35">
      <c r="A40" s="2">
        <v>0.5</v>
      </c>
      <c r="B40" s="79" t="e">
        <f t="shared" si="8"/>
        <v>#NUM!</v>
      </c>
      <c r="C40" s="79">
        <f t="shared" si="6"/>
        <v>-474.91865592293635</v>
      </c>
      <c r="D40" s="79">
        <f t="shared" si="6"/>
        <v>-429.2800710155808</v>
      </c>
      <c r="E40" s="79">
        <f t="shared" si="6"/>
        <v>-383.63930033226757</v>
      </c>
      <c r="F40" s="79">
        <f t="shared" si="6"/>
        <v>-337.77657301063226</v>
      </c>
      <c r="G40" s="79">
        <f t="shared" si="6"/>
        <v>-320.84501737152948</v>
      </c>
      <c r="H40" s="79">
        <f t="shared" si="6"/>
        <v>-312.53262267076087</v>
      </c>
      <c r="I40" s="79">
        <f t="shared" si="6"/>
        <v>-306.72185759716206</v>
      </c>
      <c r="J40" s="79">
        <f t="shared" si="6"/>
        <v>-301.50386926418361</v>
      </c>
      <c r="K40" s="79">
        <f t="shared" si="6"/>
        <v>-295.79904891016417</v>
      </c>
      <c r="L40" s="79">
        <f t="shared" si="6"/>
        <v>-287.18166099027496</v>
      </c>
      <c r="M40" s="79" t="e">
        <f t="shared" si="6"/>
        <v>#NUM!</v>
      </c>
      <c r="N40" s="79" t="e">
        <f t="shared" si="6"/>
        <v>#NUM!</v>
      </c>
      <c r="O40" s="79" t="e">
        <f t="shared" si="6"/>
        <v>#NUM!</v>
      </c>
      <c r="P40" s="79" t="e">
        <f t="shared" si="6"/>
        <v>#NUM!</v>
      </c>
      <c r="Q40" s="79" t="e">
        <f t="shared" si="6"/>
        <v>#NUM!</v>
      </c>
      <c r="R40" s="79" t="e">
        <f t="shared" si="6"/>
        <v>#NUM!</v>
      </c>
      <c r="S40" s="79" t="e">
        <f t="shared" si="7"/>
        <v>#NUM!</v>
      </c>
      <c r="T40" s="79" t="e">
        <f t="shared" si="7"/>
        <v>#NUM!</v>
      </c>
      <c r="U40" s="79" t="e">
        <f t="shared" si="7"/>
        <v>#NUM!</v>
      </c>
      <c r="V40" s="79" t="e">
        <f t="shared" si="7"/>
        <v>#NUM!</v>
      </c>
      <c r="W40" s="79" t="e">
        <f t="shared" si="7"/>
        <v>#NUM!</v>
      </c>
      <c r="X40" s="79" t="e">
        <f t="shared" si="7"/>
        <v>#NUM!</v>
      </c>
      <c r="Y40" s="79" t="e">
        <f t="shared" si="7"/>
        <v>#NUM!</v>
      </c>
      <c r="Z40" s="79" t="e">
        <f t="shared" si="7"/>
        <v>#NUM!</v>
      </c>
    </row>
    <row r="41" spans="1:26" x14ac:dyDescent="0.35">
      <c r="A41" s="2">
        <v>0.6</v>
      </c>
      <c r="B41" s="79" t="e">
        <f t="shared" si="8"/>
        <v>#NUM!</v>
      </c>
      <c r="C41" s="79">
        <f t="shared" si="6"/>
        <v>-475.37037070704548</v>
      </c>
      <c r="D41" s="79">
        <f t="shared" si="6"/>
        <v>-429.73178579968993</v>
      </c>
      <c r="E41" s="79">
        <f t="shared" si="6"/>
        <v>-384.09101511637675</v>
      </c>
      <c r="F41" s="79">
        <f t="shared" si="6"/>
        <v>-338.22828779474139</v>
      </c>
      <c r="G41" s="79">
        <f t="shared" si="6"/>
        <v>-321.29673215563861</v>
      </c>
      <c r="H41" s="79">
        <f t="shared" si="6"/>
        <v>-312.98433745487</v>
      </c>
      <c r="I41" s="79">
        <f t="shared" si="6"/>
        <v>-307.17357238127119</v>
      </c>
      <c r="J41" s="79">
        <f t="shared" si="6"/>
        <v>-301.95558404829274</v>
      </c>
      <c r="K41" s="79">
        <f t="shared" si="6"/>
        <v>-296.2507636942733</v>
      </c>
      <c r="L41" s="79">
        <f t="shared" si="6"/>
        <v>-287.63337577438409</v>
      </c>
      <c r="M41" s="79" t="e">
        <f t="shared" si="6"/>
        <v>#NUM!</v>
      </c>
      <c r="N41" s="79" t="e">
        <f t="shared" si="6"/>
        <v>#NUM!</v>
      </c>
      <c r="O41" s="79" t="e">
        <f t="shared" si="6"/>
        <v>#NUM!</v>
      </c>
      <c r="P41" s="79" t="e">
        <f t="shared" si="6"/>
        <v>#NUM!</v>
      </c>
      <c r="Q41" s="79" t="e">
        <f t="shared" si="6"/>
        <v>#NUM!</v>
      </c>
      <c r="R41" s="79" t="e">
        <f t="shared" si="6"/>
        <v>#NUM!</v>
      </c>
      <c r="S41" s="79" t="e">
        <f t="shared" si="7"/>
        <v>#NUM!</v>
      </c>
      <c r="T41" s="79" t="e">
        <f t="shared" si="7"/>
        <v>#NUM!</v>
      </c>
      <c r="U41" s="79" t="e">
        <f t="shared" si="7"/>
        <v>#NUM!</v>
      </c>
      <c r="V41" s="79" t="e">
        <f t="shared" si="7"/>
        <v>#NUM!</v>
      </c>
      <c r="W41" s="79" t="e">
        <f t="shared" si="7"/>
        <v>#NUM!</v>
      </c>
      <c r="X41" s="79" t="e">
        <f t="shared" si="7"/>
        <v>#NUM!</v>
      </c>
      <c r="Y41" s="79" t="e">
        <f t="shared" si="7"/>
        <v>#NUM!</v>
      </c>
      <c r="Z41" s="79" t="e">
        <f t="shared" si="7"/>
        <v>#NUM!</v>
      </c>
    </row>
    <row r="42" spans="1:26" x14ac:dyDescent="0.35">
      <c r="A42" s="2">
        <v>0.7</v>
      </c>
      <c r="B42" s="79" t="e">
        <f t="shared" si="8"/>
        <v>#NUM!</v>
      </c>
      <c r="C42" s="79">
        <f t="shared" si="6"/>
        <v>-475.75229011516649</v>
      </c>
      <c r="D42" s="79">
        <f t="shared" si="6"/>
        <v>-430.11370520781094</v>
      </c>
      <c r="E42" s="79">
        <f t="shared" si="6"/>
        <v>-384.4729345244977</v>
      </c>
      <c r="F42" s="79">
        <f t="shared" si="6"/>
        <v>-338.61020720286234</v>
      </c>
      <c r="G42" s="79">
        <f t="shared" si="6"/>
        <v>-321.67865156375956</v>
      </c>
      <c r="H42" s="79">
        <f t="shared" si="6"/>
        <v>-313.36625686299101</v>
      </c>
      <c r="I42" s="79">
        <f t="shared" si="6"/>
        <v>-307.55549178939214</v>
      </c>
      <c r="J42" s="79">
        <f t="shared" si="6"/>
        <v>-302.33750345641369</v>
      </c>
      <c r="K42" s="79">
        <f t="shared" si="6"/>
        <v>-296.63268310239425</v>
      </c>
      <c r="L42" s="79">
        <f t="shared" si="6"/>
        <v>-288.0152951825051</v>
      </c>
      <c r="M42" s="79" t="e">
        <f t="shared" si="6"/>
        <v>#NUM!</v>
      </c>
      <c r="N42" s="79" t="e">
        <f t="shared" si="6"/>
        <v>#NUM!</v>
      </c>
      <c r="O42" s="79" t="e">
        <f t="shared" si="6"/>
        <v>#NUM!</v>
      </c>
      <c r="P42" s="79" t="e">
        <f t="shared" si="6"/>
        <v>#NUM!</v>
      </c>
      <c r="Q42" s="79" t="e">
        <f t="shared" si="6"/>
        <v>#NUM!</v>
      </c>
      <c r="R42" s="79" t="e">
        <f t="shared" si="6"/>
        <v>#NUM!</v>
      </c>
      <c r="S42" s="79" t="e">
        <f t="shared" si="7"/>
        <v>#NUM!</v>
      </c>
      <c r="T42" s="79" t="e">
        <f t="shared" si="7"/>
        <v>#NUM!</v>
      </c>
      <c r="U42" s="79" t="e">
        <f t="shared" si="7"/>
        <v>#NUM!</v>
      </c>
      <c r="V42" s="79" t="e">
        <f t="shared" si="7"/>
        <v>#NUM!</v>
      </c>
      <c r="W42" s="79" t="e">
        <f t="shared" si="7"/>
        <v>#NUM!</v>
      </c>
      <c r="X42" s="79" t="e">
        <f t="shared" si="7"/>
        <v>#NUM!</v>
      </c>
      <c r="Y42" s="79" t="e">
        <f t="shared" si="7"/>
        <v>#NUM!</v>
      </c>
      <c r="Z42" s="79" t="e">
        <f t="shared" si="7"/>
        <v>#NUM!</v>
      </c>
    </row>
    <row r="43" spans="1:26" x14ac:dyDescent="0.35">
      <c r="A43" s="2">
        <v>0.8</v>
      </c>
      <c r="B43" s="79" t="e">
        <f t="shared" si="8"/>
        <v>#NUM!</v>
      </c>
      <c r="C43" s="79">
        <f t="shared" si="6"/>
        <v>-476.08312375465397</v>
      </c>
      <c r="D43" s="79">
        <f t="shared" si="6"/>
        <v>-430.44453884729842</v>
      </c>
      <c r="E43" s="79">
        <f t="shared" si="6"/>
        <v>-384.80376816398524</v>
      </c>
      <c r="F43" s="79">
        <f t="shared" si="6"/>
        <v>-338.94104084234988</v>
      </c>
      <c r="G43" s="79">
        <f t="shared" si="6"/>
        <v>-322.0094852032471</v>
      </c>
      <c r="H43" s="79">
        <f t="shared" si="6"/>
        <v>-313.69709050247849</v>
      </c>
      <c r="I43" s="79">
        <f t="shared" si="6"/>
        <v>-307.88632542887967</v>
      </c>
      <c r="J43" s="79">
        <f t="shared" si="6"/>
        <v>-302.66833709590122</v>
      </c>
      <c r="K43" s="79">
        <f t="shared" si="6"/>
        <v>-296.96351674188179</v>
      </c>
      <c r="L43" s="79">
        <f t="shared" si="6"/>
        <v>-288.34612882199258</v>
      </c>
      <c r="M43" s="79" t="e">
        <f t="shared" si="6"/>
        <v>#NUM!</v>
      </c>
      <c r="N43" s="79" t="e">
        <f t="shared" si="6"/>
        <v>#NUM!</v>
      </c>
      <c r="O43" s="79" t="e">
        <f t="shared" si="6"/>
        <v>#NUM!</v>
      </c>
      <c r="P43" s="79" t="e">
        <f t="shared" si="6"/>
        <v>#NUM!</v>
      </c>
      <c r="Q43" s="79" t="e">
        <f t="shared" si="6"/>
        <v>#NUM!</v>
      </c>
      <c r="R43" s="79" t="e">
        <f t="shared" si="6"/>
        <v>#NUM!</v>
      </c>
      <c r="S43" s="79" t="e">
        <f t="shared" si="7"/>
        <v>#NUM!</v>
      </c>
      <c r="T43" s="79" t="e">
        <f t="shared" si="7"/>
        <v>#NUM!</v>
      </c>
      <c r="U43" s="79" t="e">
        <f t="shared" si="7"/>
        <v>#NUM!</v>
      </c>
      <c r="V43" s="79" t="e">
        <f t="shared" si="7"/>
        <v>#NUM!</v>
      </c>
      <c r="W43" s="79" t="e">
        <f t="shared" si="7"/>
        <v>#NUM!</v>
      </c>
      <c r="X43" s="79" t="e">
        <f t="shared" si="7"/>
        <v>#NUM!</v>
      </c>
      <c r="Y43" s="79" t="e">
        <f t="shared" si="7"/>
        <v>#NUM!</v>
      </c>
      <c r="Z43" s="79" t="e">
        <f t="shared" si="7"/>
        <v>#NUM!</v>
      </c>
    </row>
    <row r="44" spans="1:26" x14ac:dyDescent="0.35">
      <c r="A44" s="2">
        <v>0.9</v>
      </c>
      <c r="B44" s="79" t="e">
        <f t="shared" si="8"/>
        <v>#NUM!</v>
      </c>
      <c r="C44" s="79">
        <f t="shared" si="6"/>
        <v>-476.37493970587127</v>
      </c>
      <c r="D44" s="79">
        <f t="shared" si="6"/>
        <v>-430.73635479851566</v>
      </c>
      <c r="E44" s="79">
        <f t="shared" si="6"/>
        <v>-385.09558411520248</v>
      </c>
      <c r="F44" s="79">
        <f t="shared" si="6"/>
        <v>-339.23285679356712</v>
      </c>
      <c r="G44" s="79">
        <f t="shared" si="6"/>
        <v>-322.30130115446434</v>
      </c>
      <c r="H44" s="79">
        <f t="shared" si="6"/>
        <v>-313.98890645369579</v>
      </c>
      <c r="I44" s="79">
        <f t="shared" si="6"/>
        <v>-308.17814138009692</v>
      </c>
      <c r="J44" s="79">
        <f t="shared" si="6"/>
        <v>-302.96015304711847</v>
      </c>
      <c r="K44" s="79">
        <f t="shared" si="6"/>
        <v>-297.25533269309904</v>
      </c>
      <c r="L44" s="79">
        <f t="shared" si="6"/>
        <v>-288.63794477320988</v>
      </c>
      <c r="M44" s="79" t="e">
        <f t="shared" si="6"/>
        <v>#NUM!</v>
      </c>
      <c r="N44" s="79" t="e">
        <f t="shared" si="6"/>
        <v>#NUM!</v>
      </c>
      <c r="O44" s="79" t="e">
        <f t="shared" si="6"/>
        <v>#NUM!</v>
      </c>
      <c r="P44" s="79" t="e">
        <f t="shared" si="6"/>
        <v>#NUM!</v>
      </c>
      <c r="Q44" s="79" t="e">
        <f t="shared" si="6"/>
        <v>#NUM!</v>
      </c>
      <c r="R44" s="79" t="e">
        <f t="shared" si="6"/>
        <v>#NUM!</v>
      </c>
      <c r="S44" s="79" t="e">
        <f t="shared" si="7"/>
        <v>#NUM!</v>
      </c>
      <c r="T44" s="79" t="e">
        <f t="shared" si="7"/>
        <v>#NUM!</v>
      </c>
      <c r="U44" s="79" t="e">
        <f t="shared" si="7"/>
        <v>#NUM!</v>
      </c>
      <c r="V44" s="79" t="e">
        <f t="shared" si="7"/>
        <v>#NUM!</v>
      </c>
      <c r="W44" s="79" t="e">
        <f t="shared" si="7"/>
        <v>#NUM!</v>
      </c>
      <c r="X44" s="79" t="e">
        <f t="shared" si="7"/>
        <v>#NUM!</v>
      </c>
      <c r="Y44" s="79" t="e">
        <f t="shared" si="7"/>
        <v>#NUM!</v>
      </c>
      <c r="Z44" s="79" t="e">
        <f t="shared" si="7"/>
        <v>#NUM!</v>
      </c>
    </row>
    <row r="45" spans="1:26" x14ac:dyDescent="0.35">
      <c r="A45" s="2">
        <v>1</v>
      </c>
      <c r="B45" s="79" t="e">
        <f t="shared" si="8"/>
        <v>#NUM!</v>
      </c>
      <c r="C45" s="79">
        <f t="shared" si="6"/>
        <v>-476.63597796937063</v>
      </c>
      <c r="D45" s="79">
        <f t="shared" si="6"/>
        <v>-430.99739306201514</v>
      </c>
      <c r="E45" s="79">
        <f t="shared" si="6"/>
        <v>-385.3566223787019</v>
      </c>
      <c r="F45" s="79">
        <f t="shared" si="6"/>
        <v>-339.49389505706654</v>
      </c>
      <c r="G45" s="79">
        <f t="shared" si="6"/>
        <v>-322.56233941796376</v>
      </c>
      <c r="H45" s="79">
        <f t="shared" si="6"/>
        <v>-314.24994471719515</v>
      </c>
      <c r="I45" s="79">
        <f t="shared" si="6"/>
        <v>-308.43917964359633</v>
      </c>
      <c r="J45" s="79">
        <f t="shared" si="6"/>
        <v>-303.22119131061788</v>
      </c>
      <c r="K45" s="79">
        <f t="shared" si="6"/>
        <v>-297.51637095659845</v>
      </c>
      <c r="L45" s="79">
        <f t="shared" si="6"/>
        <v>-288.89898303670924</v>
      </c>
      <c r="M45" s="79" t="e">
        <f t="shared" si="6"/>
        <v>#NUM!</v>
      </c>
      <c r="N45" s="79" t="e">
        <f t="shared" si="6"/>
        <v>#NUM!</v>
      </c>
      <c r="O45" s="79" t="e">
        <f t="shared" si="6"/>
        <v>#NUM!</v>
      </c>
      <c r="P45" s="79" t="e">
        <f t="shared" si="6"/>
        <v>#NUM!</v>
      </c>
      <c r="Q45" s="79" t="e">
        <f t="shared" si="6"/>
        <v>#NUM!</v>
      </c>
      <c r="R45" s="79" t="e">
        <f t="shared" si="6"/>
        <v>#NUM!</v>
      </c>
      <c r="S45" s="79" t="e">
        <f t="shared" si="7"/>
        <v>#NUM!</v>
      </c>
      <c r="T45" s="79" t="e">
        <f t="shared" si="7"/>
        <v>#NUM!</v>
      </c>
      <c r="U45" s="79" t="e">
        <f t="shared" si="7"/>
        <v>#NUM!</v>
      </c>
      <c r="V45" s="79" t="e">
        <f t="shared" si="7"/>
        <v>#NUM!</v>
      </c>
      <c r="W45" s="79" t="e">
        <f t="shared" si="7"/>
        <v>#NUM!</v>
      </c>
      <c r="X45" s="79" t="e">
        <f t="shared" si="7"/>
        <v>#NUM!</v>
      </c>
      <c r="Y45" s="79" t="e">
        <f t="shared" si="7"/>
        <v>#NUM!</v>
      </c>
      <c r="Z45" s="79" t="e">
        <f t="shared" si="7"/>
        <v>#NUM!</v>
      </c>
    </row>
  </sheetData>
  <mergeCells count="3">
    <mergeCell ref="B3:H3"/>
    <mergeCell ref="B18:H18"/>
    <mergeCell ref="B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Manual Monomer</vt:lpstr>
      <vt:lpstr>Monomer_rawG</vt:lpstr>
      <vt:lpstr>Monomer first nitration</vt:lpstr>
      <vt:lpstr>Monomer continuation</vt:lpstr>
      <vt:lpstr>Dimer</vt:lpstr>
      <vt:lpstr>notes</vt:lpstr>
      <vt:lpstr>David</vt:lpstr>
      <vt:lpstr>phase diagram</vt:lpstr>
      <vt:lpstr>halfs&amp;zeroing</vt:lpstr>
      <vt:lpstr>Sheet3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LAMM-05</dc:creator>
  <cp:lastModifiedBy>Amy Lai</cp:lastModifiedBy>
  <dcterms:created xsi:type="dcterms:W3CDTF">2017-08-01T10:24:37Z</dcterms:created>
  <dcterms:modified xsi:type="dcterms:W3CDTF">2019-06-25T20:36:10Z</dcterms:modified>
</cp:coreProperties>
</file>