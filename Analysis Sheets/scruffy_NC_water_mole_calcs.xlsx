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/>
  <mc:AlternateContent xmlns:mc="http://schemas.openxmlformats.org/markup-compatibility/2006">
    <mc:Choice Requires="x15">
      <x15ac:absPath xmlns:x15ac="http://schemas.microsoft.com/office/spreadsheetml/2010/11/ac" url="C:\Users\amyjo\Google Drive\NC_locals\Analysis Sheets\"/>
    </mc:Choice>
  </mc:AlternateContent>
  <xr:revisionPtr revIDLastSave="0" documentId="10_ncr:100000_{7392226C-3D7B-46F2-A754-606E74A6B7F8}" xr6:coauthVersionLast="31" xr6:coauthVersionMax="31" xr10:uidLastSave="{00000000-0000-0000-0000-000000000000}"/>
  <bookViews>
    <workbookView xWindow="0" yWindow="0" windowWidth="28800" windowHeight="12888" xr2:uid="{00000000-000D-0000-FFFF-FFFF00000000}"/>
  </bookViews>
  <sheets>
    <sheet name="Sheet1" sheetId="1" r:id="rId1"/>
    <sheet name="Sheet2" sheetId="2" r:id="rId2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9" i="1" l="1"/>
  <c r="Q23" i="1"/>
  <c r="Q22" i="1"/>
  <c r="J38" i="1"/>
  <c r="I36" i="1" s="1"/>
  <c r="O41" i="1"/>
  <c r="O40" i="1"/>
  <c r="O34" i="1"/>
  <c r="O27" i="1"/>
  <c r="O26" i="1"/>
  <c r="O28" i="1" s="1"/>
  <c r="O17" i="1"/>
  <c r="O18" i="1" s="1"/>
  <c r="O16" i="1"/>
  <c r="O7" i="1"/>
  <c r="O35" i="1" s="1"/>
  <c r="O4" i="1"/>
  <c r="D12" i="1"/>
  <c r="D13" i="1"/>
  <c r="D14" i="1"/>
  <c r="D11" i="1"/>
  <c r="D15" i="1" s="1"/>
  <c r="O3" i="1" s="1"/>
  <c r="B5" i="2"/>
  <c r="B6" i="2"/>
  <c r="B4" i="2"/>
  <c r="B36" i="1"/>
  <c r="B35" i="1"/>
  <c r="O5" i="1" l="1"/>
  <c r="O9" i="1"/>
  <c r="O12" i="1"/>
  <c r="O22" i="1"/>
  <c r="I35" i="1"/>
  <c r="I34" i="1"/>
  <c r="O42" i="1"/>
  <c r="B24" i="1"/>
  <c r="B25" i="1" s="1"/>
  <c r="B38" i="1" s="1"/>
  <c r="I19" i="1"/>
  <c r="B15" i="1"/>
  <c r="B17" i="1" s="1"/>
  <c r="B18" i="1" s="1"/>
  <c r="A5" i="1"/>
  <c r="A6" i="1" s="1"/>
  <c r="C2" i="1"/>
  <c r="C3" i="1" s="1"/>
  <c r="B27" i="1" l="1"/>
  <c r="B28" i="1" s="1"/>
  <c r="B29" i="1" s="1"/>
  <c r="O13" i="1"/>
  <c r="O14" i="1" s="1"/>
  <c r="O20" i="1" s="1"/>
  <c r="O23" i="1"/>
  <c r="O24" i="1" s="1"/>
  <c r="O30" i="1" s="1"/>
  <c r="O36" i="1"/>
  <c r="O37" i="1" s="1"/>
  <c r="O44" i="1"/>
</calcChain>
</file>

<file path=xl/sharedStrings.xml><?xml version="1.0" encoding="utf-8"?>
<sst xmlns="http://schemas.openxmlformats.org/spreadsheetml/2006/main" count="100" uniqueCount="80">
  <si>
    <t xml:space="preserve">C: </t>
  </si>
  <si>
    <t xml:space="preserve">H: </t>
  </si>
  <si>
    <t xml:space="preserve">O: </t>
  </si>
  <si>
    <t xml:space="preserve">N: </t>
  </si>
  <si>
    <t>H2O weight</t>
  </si>
  <si>
    <t>no molecules:</t>
  </si>
  <si>
    <t>avo</t>
  </si>
  <si>
    <t>moles NC (for 90 dimers)</t>
  </si>
  <si>
    <t>mass /g</t>
  </si>
  <si>
    <t>moles water</t>
  </si>
  <si>
    <t>no. molecules water needed</t>
  </si>
  <si>
    <t>ie. 742. Et voila</t>
  </si>
  <si>
    <t>Since we're using this many:</t>
  </si>
  <si>
    <t>moles</t>
  </si>
  <si>
    <t>mass</t>
  </si>
  <si>
    <t>Mr Water:</t>
  </si>
  <si>
    <t>% water:</t>
  </si>
  <si>
    <t>Still pretty much 25%</t>
  </si>
  <si>
    <t xml:space="preserve">If we want a rounded integer for number of N atoms, this is the percentage nitration we need: </t>
  </si>
  <si>
    <t xml:space="preserve">Trinitrate cell volume </t>
  </si>
  <si>
    <t>For 3X3 strands, of 10 dimers lengths</t>
  </si>
  <si>
    <t>Width</t>
  </si>
  <si>
    <t>height</t>
  </si>
  <si>
    <t>depth</t>
  </si>
  <si>
    <t>Hold up, this was from French's old paper and I don't even know what was in the bloody cell and where the dimensions were taken from</t>
  </si>
  <si>
    <t>For 12.5% N in 90 dimers, we need this many nitrogens:</t>
  </si>
  <si>
    <t>N</t>
  </si>
  <si>
    <t>Weight of 90 dimers, fully nitrated</t>
  </si>
  <si>
    <t>no atoms in 90 dimers</t>
  </si>
  <si>
    <t>Aw</t>
  </si>
  <si>
    <t>using Mr of one dimer tho</t>
  </si>
  <si>
    <t>no atoms in cell</t>
  </si>
  <si>
    <t>MR of whole cell</t>
  </si>
  <si>
    <t>for 90 dimers</t>
  </si>
  <si>
    <t>14.14% N</t>
  </si>
  <si>
    <t>Weight of 14.14% N</t>
  </si>
  <si>
    <t>Weight of one dimer, with DS=5</t>
  </si>
  <si>
    <t>Weight of one dimer, with DS=4</t>
  </si>
  <si>
    <t>If we did half DS=5, DS=4, what percentage N?</t>
  </si>
  <si>
    <t>DS=5</t>
  </si>
  <si>
    <t>DS=4</t>
  </si>
  <si>
    <t>Total</t>
  </si>
  <si>
    <t>Total no of N's</t>
  </si>
  <si>
    <t>%N</t>
  </si>
  <si>
    <t>Dimer</t>
  </si>
  <si>
    <t>76 DS=5, 14 DS=4</t>
  </si>
  <si>
    <t>But wait, some will be fully nitrated still…</t>
  </si>
  <si>
    <t>DS=6</t>
  </si>
  <si>
    <t>20 DS=6</t>
  </si>
  <si>
    <t>36 DS=5</t>
  </si>
  <si>
    <t>34 DS=4</t>
  </si>
  <si>
    <t>Combos:</t>
  </si>
  <si>
    <t>Weight of one dimer, with DS=6</t>
  </si>
  <si>
    <t>The fewer there are that are fully nitrated, the more likely</t>
  </si>
  <si>
    <t xml:space="preserve">it is to exist, as not as likley to fully nitrate, nor retain fully nitrated sections if the </t>
  </si>
  <si>
    <t xml:space="preserve">conditions are such that a few groups are already removed. </t>
  </si>
  <si>
    <t xml:space="preserve">For ease, you may want to go for the 9 DS=6 option, </t>
  </si>
  <si>
    <t>so that you don't have to draw out loads of strands.</t>
  </si>
  <si>
    <t>But ifyou can be bothered, you can do the 3 one.</t>
  </si>
  <si>
    <t>1 in each strand of 10</t>
  </si>
  <si>
    <t xml:space="preserve">6 in each strand, plus four strands with 7 </t>
  </si>
  <si>
    <t>2 in each strand, plus five with 3</t>
  </si>
  <si>
    <t>Strands:</t>
  </si>
  <si>
    <t>three strands with 1</t>
  </si>
  <si>
    <t xml:space="preserve">7 in each strand, plus six strands with 8 </t>
  </si>
  <si>
    <t>2 in each strand</t>
  </si>
  <si>
    <t>No variations</t>
  </si>
  <si>
    <t>five str with 1</t>
  </si>
  <si>
    <t xml:space="preserve">7 in each strand, plus three strands with 8 </t>
  </si>
  <si>
    <t>2 in each strand plus one str with 3</t>
  </si>
  <si>
    <t>8 in each strand, with four strands of 9</t>
  </si>
  <si>
    <t>1 in each strand, with five strands of 2</t>
  </si>
  <si>
    <t>1 in each str plus one with 2</t>
  </si>
  <si>
    <t>6 in each strand</t>
  </si>
  <si>
    <t>3 in each strand but one with 2</t>
  </si>
  <si>
    <t xml:space="preserve"> </t>
  </si>
  <si>
    <t>CAVEAT:  when writing up, you must acknowledge</t>
  </si>
  <si>
    <t xml:space="preserve"> that there should also be some DS 1 /2 /3 dimers </t>
  </si>
  <si>
    <t xml:space="preserve">in there, that we have ignored here. </t>
  </si>
  <si>
    <t>100 dimers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</si>
</sst>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/>
    </xf>
    <xf numFmtId="11" fontId="1" fillId="0" borderId="0" xfId="0" applyNumberFormat="1" applyFont="1"/>
    <xf numFmtId="11" fontId="0" fillId="0" borderId="0" xfId="0" applyNumberFormat="1"/>
    <xf numFmtId="0" fontId="0" fillId="0" borderId="0" xfId="0" applyNumberFormat="1"/>
    <xf numFmtId="0" fontId="0" fillId="0" borderId="2" xfId="0" applyBorder="1" applyAlignment="1">
      <alignment vertical="center"/>
    </xf>
    <xf numFmtId="0" fontId="0" fillId="0" borderId="3" xfId="0" applyBorder="1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2" fontId="0" fillId="0" borderId="0" xfId="0" applyNumberFormat="1"/>
    <xf numFmtId="0" fontId="0" fillId="0" borderId="2" xfId="0" applyBorder="1"/>
    <xf numFmtId="0" fontId="0" fillId="0" borderId="12" xfId="0" applyBorder="1"/>
    <xf numFmtId="2" fontId="0" fillId="0" borderId="5" xfId="0" applyNumberFormat="1" applyBorder="1"/>
    <xf numFmtId="2" fontId="0" fillId="0" borderId="0" xfId="0" applyNumberFormat="1" applyBorder="1"/>
    <xf numFmtId="2" fontId="0" fillId="0" borderId="1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4"/>
  <sheetViews>
    <sheetView tabSelected="1" topLeftCell="D27" workbookViewId="0">
      <selection activeCell="X38" sqref="X38"/>
    </sheetView>
  </sheetViews>
  <sheetFormatPr defaultRowHeight="14.4" x14ac:dyDescent="0.3"/>
  <cols>
    <col min="1" max="1" width="26.88671875" bestFit="1" customWidth="1"/>
    <col min="2" max="2" width="21.88671875" bestFit="1" customWidth="1"/>
    <col min="10" max="10" width="11.109375" bestFit="1" customWidth="1"/>
    <col min="16" max="16" width="12.6640625" bestFit="1" customWidth="1"/>
  </cols>
  <sheetData>
    <row r="1" spans="1:20" ht="15" thickBot="1" x14ac:dyDescent="0.35">
      <c r="A1" t="s">
        <v>18</v>
      </c>
      <c r="K1" s="18" t="s">
        <v>25</v>
      </c>
      <c r="L1" s="19"/>
      <c r="M1" s="19"/>
      <c r="N1" s="19"/>
      <c r="O1" s="19"/>
      <c r="P1" s="6"/>
    </row>
    <row r="2" spans="1:20" ht="15" thickBot="1" x14ac:dyDescent="0.35">
      <c r="A2">
        <v>0.11799999999999999</v>
      </c>
      <c r="B2" s="7">
        <v>594.26400000000001</v>
      </c>
      <c r="C2">
        <f>A2*B2</f>
        <v>70.123152000000005</v>
      </c>
      <c r="S2" t="s">
        <v>26</v>
      </c>
      <c r="T2">
        <v>14.007</v>
      </c>
    </row>
    <row r="3" spans="1:20" ht="15" thickBot="1" x14ac:dyDescent="0.35">
      <c r="C3">
        <f>C2/14.007</f>
        <v>5.0062934247162136</v>
      </c>
      <c r="K3" s="18" t="s">
        <v>27</v>
      </c>
      <c r="L3" s="19"/>
      <c r="M3" s="19"/>
      <c r="N3" s="19"/>
      <c r="O3" s="19">
        <f>D15</f>
        <v>53483.759999999995</v>
      </c>
      <c r="P3" s="6" t="s">
        <v>34</v>
      </c>
    </row>
    <row r="4" spans="1:20" x14ac:dyDescent="0.3">
      <c r="K4" t="s">
        <v>35</v>
      </c>
      <c r="M4" t="s">
        <v>47</v>
      </c>
      <c r="O4">
        <f>D14</f>
        <v>7563.78</v>
      </c>
    </row>
    <row r="5" spans="1:20" ht="15" thickBot="1" x14ac:dyDescent="0.35">
      <c r="A5">
        <f>5*14.007</f>
        <v>70.034999999999997</v>
      </c>
      <c r="O5">
        <f>O4/O3</f>
        <v>0.14142199426517507</v>
      </c>
    </row>
    <row r="6" spans="1:20" ht="15" thickBot="1" x14ac:dyDescent="0.35">
      <c r="A6">
        <f>A5/594.264</f>
        <v>0.11785166188764588</v>
      </c>
      <c r="K6" t="s">
        <v>52</v>
      </c>
      <c r="O6" s="7">
        <v>594.26400000000001</v>
      </c>
    </row>
    <row r="7" spans="1:20" x14ac:dyDescent="0.3">
      <c r="K7" t="s">
        <v>36</v>
      </c>
      <c r="O7">
        <f>B2-(2*C13)-C14+C12</f>
        <v>549.26700000000005</v>
      </c>
    </row>
    <row r="9" spans="1:20" x14ac:dyDescent="0.3">
      <c r="K9" t="s">
        <v>37</v>
      </c>
      <c r="O9">
        <f>O7-(2*C13)-C14+C12</f>
        <v>504.27</v>
      </c>
    </row>
    <row r="10" spans="1:20" ht="15" thickBot="1" x14ac:dyDescent="0.35">
      <c r="B10" t="s">
        <v>28</v>
      </c>
      <c r="C10" t="s">
        <v>29</v>
      </c>
    </row>
    <row r="11" spans="1:20" x14ac:dyDescent="0.3">
      <c r="A11" s="1" t="s">
        <v>0</v>
      </c>
      <c r="B11">
        <v>1080</v>
      </c>
      <c r="C11">
        <v>12.010999999999999</v>
      </c>
      <c r="D11">
        <f>C11*B11</f>
        <v>12971.88</v>
      </c>
      <c r="K11" s="8" t="s">
        <v>38</v>
      </c>
      <c r="L11" s="9"/>
      <c r="M11" s="9"/>
      <c r="N11" s="9"/>
      <c r="O11" s="10"/>
    </row>
    <row r="12" spans="1:20" x14ac:dyDescent="0.3">
      <c r="A12" s="1" t="s">
        <v>1</v>
      </c>
      <c r="B12">
        <v>1260</v>
      </c>
      <c r="C12">
        <v>1.008</v>
      </c>
      <c r="D12">
        <f t="shared" ref="D12:D14" si="0">C12*B12</f>
        <v>1270.08</v>
      </c>
      <c r="K12" s="11" t="s">
        <v>39</v>
      </c>
      <c r="L12" s="12"/>
      <c r="M12" s="12"/>
      <c r="N12" s="12"/>
      <c r="O12" s="13">
        <f>O7*45</f>
        <v>24717.015000000003</v>
      </c>
    </row>
    <row r="13" spans="1:20" x14ac:dyDescent="0.3">
      <c r="A13" s="1" t="s">
        <v>2</v>
      </c>
      <c r="B13">
        <v>1980</v>
      </c>
      <c r="C13">
        <v>15.999000000000001</v>
      </c>
      <c r="D13">
        <f t="shared" si="0"/>
        <v>31678.02</v>
      </c>
      <c r="K13" s="11" t="s">
        <v>40</v>
      </c>
      <c r="L13" s="12"/>
      <c r="M13" s="12"/>
      <c r="N13" s="12"/>
      <c r="O13" s="13">
        <f>45*O9</f>
        <v>22692.149999999998</v>
      </c>
    </row>
    <row r="14" spans="1:20" ht="15" thickBot="1" x14ac:dyDescent="0.35">
      <c r="A14" s="1" t="s">
        <v>3</v>
      </c>
      <c r="B14">
        <v>540</v>
      </c>
      <c r="C14">
        <v>14.007</v>
      </c>
      <c r="D14">
        <f t="shared" si="0"/>
        <v>7563.78</v>
      </c>
      <c r="K14" s="11"/>
      <c r="L14" s="12"/>
      <c r="M14" s="12" t="s">
        <v>44</v>
      </c>
      <c r="N14" s="12" t="s">
        <v>41</v>
      </c>
      <c r="O14" s="13">
        <f>O13+O12</f>
        <v>47409.165000000001</v>
      </c>
    </row>
    <row r="15" spans="1:20" ht="15" thickBot="1" x14ac:dyDescent="0.35">
      <c r="A15" s="5" t="s">
        <v>31</v>
      </c>
      <c r="B15" s="6">
        <f>SUM(B11:B14)</f>
        <v>4860</v>
      </c>
      <c r="D15" s="7">
        <f>SUM(D11:D14)</f>
        <v>53483.759999999995</v>
      </c>
      <c r="E15" t="s">
        <v>32</v>
      </c>
      <c r="K15" s="11"/>
      <c r="L15" s="12"/>
      <c r="M15" s="12"/>
      <c r="N15" s="12"/>
      <c r="O15" s="13"/>
    </row>
    <row r="16" spans="1:20" x14ac:dyDescent="0.3">
      <c r="K16" s="11" t="s">
        <v>42</v>
      </c>
      <c r="L16" s="12"/>
      <c r="M16" s="12"/>
      <c r="N16" s="12" t="s">
        <v>39</v>
      </c>
      <c r="O16" s="13">
        <f>(5*C14)*45</f>
        <v>3151.5749999999998</v>
      </c>
    </row>
    <row r="17" spans="1:20" x14ac:dyDescent="0.3">
      <c r="A17" s="1" t="s">
        <v>4</v>
      </c>
      <c r="B17">
        <f>B15/4</f>
        <v>1215</v>
      </c>
      <c r="K17" s="11"/>
      <c r="L17" s="12"/>
      <c r="M17" s="12"/>
      <c r="N17" s="12" t="s">
        <v>40</v>
      </c>
      <c r="O17" s="13">
        <f>(4*C14)*45</f>
        <v>2521.2599999999998</v>
      </c>
    </row>
    <row r="18" spans="1:20" x14ac:dyDescent="0.3">
      <c r="A18" s="1" t="s">
        <v>5</v>
      </c>
      <c r="B18">
        <f>B17/18.015</f>
        <v>67.443796835970019</v>
      </c>
      <c r="K18" s="11"/>
      <c r="L18" s="12"/>
      <c r="M18" s="12" t="s">
        <v>26</v>
      </c>
      <c r="N18" s="12" t="s">
        <v>41</v>
      </c>
      <c r="O18" s="13">
        <f>O17+O16</f>
        <v>5672.8349999999991</v>
      </c>
    </row>
    <row r="19" spans="1:20" x14ac:dyDescent="0.3">
      <c r="I19">
        <f>90*8.2468</f>
        <v>742.21199999999999</v>
      </c>
      <c r="K19" s="11"/>
      <c r="L19" s="12"/>
      <c r="M19" s="12"/>
      <c r="N19" s="12"/>
      <c r="O19" s="13"/>
    </row>
    <row r="20" spans="1:20" ht="15" thickBot="1" x14ac:dyDescent="0.35">
      <c r="K20" s="14"/>
      <c r="L20" s="15"/>
      <c r="M20" s="15"/>
      <c r="N20" s="15" t="s">
        <v>43</v>
      </c>
      <c r="O20" s="16">
        <f>(O18/O14)*100</f>
        <v>11.965692709415993</v>
      </c>
    </row>
    <row r="21" spans="1:20" ht="15" thickBot="1" x14ac:dyDescent="0.35"/>
    <row r="22" spans="1:20" x14ac:dyDescent="0.3">
      <c r="K22" s="8" t="s">
        <v>45</v>
      </c>
      <c r="L22" s="9"/>
      <c r="M22" s="9">
        <v>5</v>
      </c>
      <c r="N22" s="9"/>
      <c r="O22" s="10">
        <f>O7*76</f>
        <v>41744.292000000001</v>
      </c>
      <c r="Q22">
        <f>(R22/90)*100</f>
        <v>84.444444444444443</v>
      </c>
      <c r="R22">
        <v>76</v>
      </c>
      <c r="S22" t="s">
        <v>39</v>
      </c>
      <c r="T22" t="s">
        <v>70</v>
      </c>
    </row>
    <row r="23" spans="1:20" ht="15.6" x14ac:dyDescent="0.3">
      <c r="A23" t="s">
        <v>6</v>
      </c>
      <c r="B23" s="2">
        <v>6.0221408570000002E+23</v>
      </c>
      <c r="J23" s="2"/>
      <c r="K23" s="11"/>
      <c r="L23" s="12"/>
      <c r="M23" s="12">
        <v>4</v>
      </c>
      <c r="N23" s="12"/>
      <c r="O23" s="13">
        <f>O9*14</f>
        <v>7059.78</v>
      </c>
      <c r="Q23">
        <f>(R23/90)*100</f>
        <v>15.555555555555555</v>
      </c>
      <c r="R23">
        <v>14</v>
      </c>
      <c r="S23" t="s">
        <v>40</v>
      </c>
      <c r="T23" t="s">
        <v>71</v>
      </c>
    </row>
    <row r="24" spans="1:20" x14ac:dyDescent="0.3">
      <c r="A24" t="s">
        <v>7</v>
      </c>
      <c r="B24">
        <f>90/B23</f>
        <v>1.4944851363844476E-22</v>
      </c>
      <c r="J24" s="3"/>
      <c r="K24" s="11"/>
      <c r="L24" s="12"/>
      <c r="M24" s="12" t="s">
        <v>44</v>
      </c>
      <c r="N24" s="12" t="s">
        <v>41</v>
      </c>
      <c r="O24" s="13">
        <f>O23+O22</f>
        <v>48804.072</v>
      </c>
    </row>
    <row r="25" spans="1:20" x14ac:dyDescent="0.3">
      <c r="A25" t="s">
        <v>8</v>
      </c>
      <c r="B25">
        <f>B24*594.264</f>
        <v>8.8811871508836737E-20</v>
      </c>
      <c r="C25" t="s">
        <v>30</v>
      </c>
      <c r="J25" s="3"/>
      <c r="K25" s="11"/>
      <c r="L25" s="12"/>
      <c r="M25" s="12"/>
      <c r="N25" s="12"/>
      <c r="O25" s="13"/>
    </row>
    <row r="26" spans="1:20" x14ac:dyDescent="0.3">
      <c r="K26" s="11"/>
      <c r="L26" s="12"/>
      <c r="M26" s="12">
        <v>5</v>
      </c>
      <c r="N26" s="12"/>
      <c r="O26" s="13">
        <f>C14*5*76</f>
        <v>5322.66</v>
      </c>
    </row>
    <row r="27" spans="1:20" x14ac:dyDescent="0.3">
      <c r="A27" t="s">
        <v>8</v>
      </c>
      <c r="B27">
        <f>B25/4</f>
        <v>2.2202967877209184E-20</v>
      </c>
      <c r="F27" t="s">
        <v>15</v>
      </c>
      <c r="G27">
        <v>18.015000000000001</v>
      </c>
      <c r="J27" s="3"/>
      <c r="K27" s="11"/>
      <c r="L27" s="12"/>
      <c r="M27" s="12">
        <v>4</v>
      </c>
      <c r="N27" s="12"/>
      <c r="O27" s="13">
        <f>C14*4*14</f>
        <v>784.39199999999994</v>
      </c>
    </row>
    <row r="28" spans="1:20" x14ac:dyDescent="0.3">
      <c r="A28" t="s">
        <v>9</v>
      </c>
      <c r="B28">
        <f>B27/18.015</f>
        <v>1.2324711561037571E-21</v>
      </c>
      <c r="J28" s="3"/>
      <c r="K28" s="11"/>
      <c r="L28" s="12"/>
      <c r="M28" s="12" t="s">
        <v>26</v>
      </c>
      <c r="N28" s="12" t="s">
        <v>41</v>
      </c>
      <c r="O28" s="13">
        <f>O27+O26</f>
        <v>6107.0519999999997</v>
      </c>
    </row>
    <row r="29" spans="1:20" x14ac:dyDescent="0.3">
      <c r="A29" t="s">
        <v>10</v>
      </c>
      <c r="B29" s="4">
        <f>B28*B23</f>
        <v>742.21149042464606</v>
      </c>
      <c r="C29" t="s">
        <v>11</v>
      </c>
      <c r="J29" s="4"/>
      <c r="K29" s="11"/>
      <c r="L29" s="12"/>
      <c r="M29" s="12"/>
      <c r="N29" s="12"/>
      <c r="O29" s="13"/>
    </row>
    <row r="30" spans="1:20" ht="15" thickBot="1" x14ac:dyDescent="0.35">
      <c r="A30" t="s">
        <v>33</v>
      </c>
      <c r="K30" s="14"/>
      <c r="L30" s="15"/>
      <c r="M30" s="15"/>
      <c r="N30" s="15" t="s">
        <v>43</v>
      </c>
      <c r="O30" s="16">
        <f>(O28/O24)*100</f>
        <v>12.513406668197685</v>
      </c>
    </row>
    <row r="31" spans="1:20" x14ac:dyDescent="0.3">
      <c r="B31" s="3"/>
      <c r="J31" s="3"/>
      <c r="K31" s="12"/>
      <c r="L31" s="12"/>
      <c r="M31" s="12"/>
      <c r="N31" s="12"/>
      <c r="O31" s="12"/>
    </row>
    <row r="32" spans="1:20" x14ac:dyDescent="0.3">
      <c r="K32" t="s">
        <v>46</v>
      </c>
    </row>
    <row r="33" spans="1:24" ht="15" thickBot="1" x14ac:dyDescent="0.35">
      <c r="J33" s="17"/>
    </row>
    <row r="34" spans="1:24" x14ac:dyDescent="0.3">
      <c r="A34" t="s">
        <v>12</v>
      </c>
      <c r="B34">
        <v>743</v>
      </c>
      <c r="I34">
        <f>(J34/$J$38)*100</f>
        <v>11.111111111111111</v>
      </c>
      <c r="J34" s="17">
        <v>10</v>
      </c>
      <c r="K34" s="8" t="s">
        <v>48</v>
      </c>
      <c r="L34" s="9"/>
      <c r="M34" s="9">
        <v>6</v>
      </c>
      <c r="N34" s="9"/>
      <c r="O34" s="10">
        <f>$B$2*J34</f>
        <v>5942.64</v>
      </c>
      <c r="Q34" t="s">
        <v>51</v>
      </c>
      <c r="R34" s="8" t="s">
        <v>48</v>
      </c>
      <c r="S34" s="17">
        <v>10</v>
      </c>
      <c r="T34" s="17">
        <v>9</v>
      </c>
      <c r="U34" s="17">
        <v>5</v>
      </c>
      <c r="V34" s="17">
        <v>3</v>
      </c>
      <c r="X34" s="17">
        <v>10</v>
      </c>
    </row>
    <row r="35" spans="1:24" x14ac:dyDescent="0.3">
      <c r="A35" t="s">
        <v>13</v>
      </c>
      <c r="B35" s="3">
        <f>B34/B23</f>
        <v>1.2337805070373829E-21</v>
      </c>
      <c r="I35">
        <f t="shared" ref="I35:I36" si="1">(J35/$J$38)*100</f>
        <v>60</v>
      </c>
      <c r="J35" s="17">
        <v>54</v>
      </c>
      <c r="K35" s="11" t="s">
        <v>49</v>
      </c>
      <c r="L35" s="12"/>
      <c r="M35" s="12">
        <v>5</v>
      </c>
      <c r="N35" s="12"/>
      <c r="O35" s="13">
        <f>$O$7*J35</f>
        <v>29660.418000000001</v>
      </c>
      <c r="R35" s="11" t="s">
        <v>49</v>
      </c>
      <c r="S35" s="17">
        <v>56</v>
      </c>
      <c r="T35" s="17">
        <v>58</v>
      </c>
      <c r="U35" s="17">
        <v>66</v>
      </c>
      <c r="V35" s="17">
        <v>69</v>
      </c>
      <c r="X35" s="17">
        <v>54</v>
      </c>
    </row>
    <row r="36" spans="1:24" ht="15" thickBot="1" x14ac:dyDescent="0.35">
      <c r="A36" t="s">
        <v>14</v>
      </c>
      <c r="B36" s="3">
        <f>B35*G27</f>
        <v>2.2226555834278452E-20</v>
      </c>
      <c r="I36">
        <f t="shared" si="1"/>
        <v>28.888888888888886</v>
      </c>
      <c r="J36" s="17">
        <v>26</v>
      </c>
      <c r="K36" s="11" t="s">
        <v>50</v>
      </c>
      <c r="L36" s="12"/>
      <c r="M36" s="12">
        <v>4</v>
      </c>
      <c r="N36" s="12"/>
      <c r="O36" s="13">
        <f>O9*J36</f>
        <v>13111.02</v>
      </c>
      <c r="R36" s="11" t="s">
        <v>50</v>
      </c>
      <c r="S36" s="17">
        <v>24</v>
      </c>
      <c r="T36" s="17">
        <v>23</v>
      </c>
      <c r="U36" s="17">
        <v>19</v>
      </c>
      <c r="V36" s="17">
        <v>18</v>
      </c>
      <c r="X36" s="17">
        <v>26</v>
      </c>
    </row>
    <row r="37" spans="1:24" ht="15" thickBot="1" x14ac:dyDescent="0.35">
      <c r="J37" s="17"/>
      <c r="K37" s="11"/>
      <c r="L37" s="12"/>
      <c r="M37" s="12" t="s">
        <v>44</v>
      </c>
      <c r="N37" s="12" t="s">
        <v>41</v>
      </c>
      <c r="O37" s="13">
        <f>SUM(O34:O36)</f>
        <v>48714.078000000009</v>
      </c>
      <c r="R37" s="18">
        <v>12.513406668197685</v>
      </c>
      <c r="S37" s="19"/>
      <c r="T37" s="19"/>
      <c r="U37" s="19"/>
      <c r="V37" s="6"/>
      <c r="X37" t="s">
        <v>79</v>
      </c>
    </row>
    <row r="38" spans="1:24" x14ac:dyDescent="0.3">
      <c r="A38" t="s">
        <v>16</v>
      </c>
      <c r="B38" s="4">
        <f>(B36/B25)*100</f>
        <v>25.026559464031699</v>
      </c>
      <c r="C38" t="s">
        <v>17</v>
      </c>
      <c r="J38" s="17">
        <f>SUM(J34:J36)</f>
        <v>90</v>
      </c>
      <c r="K38" s="11"/>
      <c r="L38" s="12"/>
      <c r="M38" s="12"/>
      <c r="N38" s="12"/>
      <c r="O38" s="13"/>
    </row>
    <row r="39" spans="1:24" x14ac:dyDescent="0.3">
      <c r="J39" s="17"/>
      <c r="K39" s="11"/>
      <c r="L39" s="12"/>
      <c r="M39" s="12">
        <v>6</v>
      </c>
      <c r="N39" s="12"/>
      <c r="O39" s="13">
        <f>$M39*$C$14*J34</f>
        <v>840.42000000000007</v>
      </c>
    </row>
    <row r="40" spans="1:24" x14ac:dyDescent="0.3">
      <c r="K40" s="11"/>
      <c r="L40" s="12"/>
      <c r="M40" s="12">
        <v>5</v>
      </c>
      <c r="N40" s="12"/>
      <c r="O40" s="13">
        <f>$M40*$C$14*J35</f>
        <v>3781.89</v>
      </c>
      <c r="R40" t="s">
        <v>53</v>
      </c>
    </row>
    <row r="41" spans="1:24" x14ac:dyDescent="0.3">
      <c r="K41" s="11"/>
      <c r="L41" s="12"/>
      <c r="M41" s="12">
        <v>4</v>
      </c>
      <c r="N41" s="12"/>
      <c r="O41" s="13">
        <f>$M41*$C$14*J36</f>
        <v>1456.7280000000001</v>
      </c>
      <c r="R41" t="s">
        <v>54</v>
      </c>
    </row>
    <row r="42" spans="1:24" x14ac:dyDescent="0.3">
      <c r="K42" s="11"/>
      <c r="L42" s="12"/>
      <c r="M42" s="12" t="s">
        <v>26</v>
      </c>
      <c r="N42" s="12" t="s">
        <v>41</v>
      </c>
      <c r="O42" s="13">
        <f>SUM(O39:O41)</f>
        <v>6079.0379999999996</v>
      </c>
      <c r="R42" t="s">
        <v>55</v>
      </c>
    </row>
    <row r="43" spans="1:24" x14ac:dyDescent="0.3">
      <c r="K43" s="11"/>
      <c r="L43" s="12"/>
      <c r="M43" s="12"/>
      <c r="N43" s="12"/>
      <c r="O43" s="13"/>
    </row>
    <row r="44" spans="1:24" ht="15" thickBot="1" x14ac:dyDescent="0.35">
      <c r="K44" s="14"/>
      <c r="L44" s="15"/>
      <c r="M44" s="15"/>
      <c r="N44" s="15" t="s">
        <v>43</v>
      </c>
      <c r="O44" s="16">
        <f>(O42/O37)*100</f>
        <v>12.479016846013176</v>
      </c>
    </row>
    <row r="45" spans="1:24" x14ac:dyDescent="0.3">
      <c r="R45" t="s">
        <v>56</v>
      </c>
      <c r="W45" t="s">
        <v>76</v>
      </c>
    </row>
    <row r="46" spans="1:24" x14ac:dyDescent="0.3">
      <c r="R46" t="s">
        <v>57</v>
      </c>
      <c r="W46" t="s">
        <v>77</v>
      </c>
    </row>
    <row r="47" spans="1:24" x14ac:dyDescent="0.3">
      <c r="W47" t="s">
        <v>78</v>
      </c>
    </row>
    <row r="48" spans="1:24" x14ac:dyDescent="0.3">
      <c r="R48" t="s">
        <v>58</v>
      </c>
    </row>
    <row r="50" spans="5:21" x14ac:dyDescent="0.3">
      <c r="Q50" t="s">
        <v>62</v>
      </c>
      <c r="R50" s="17">
        <v>9</v>
      </c>
      <c r="S50" t="s">
        <v>59</v>
      </c>
    </row>
    <row r="51" spans="5:21" x14ac:dyDescent="0.3">
      <c r="R51" s="17">
        <v>58</v>
      </c>
      <c r="S51" t="s">
        <v>60</v>
      </c>
    </row>
    <row r="52" spans="5:21" x14ac:dyDescent="0.3">
      <c r="P52" t="s">
        <v>66</v>
      </c>
      <c r="Q52">
        <v>3</v>
      </c>
      <c r="R52" s="17">
        <v>23</v>
      </c>
      <c r="S52" t="s">
        <v>61</v>
      </c>
    </row>
    <row r="54" spans="5:21" x14ac:dyDescent="0.3">
      <c r="R54" s="17">
        <v>3</v>
      </c>
      <c r="S54" t="s">
        <v>63</v>
      </c>
    </row>
    <row r="55" spans="5:21" x14ac:dyDescent="0.3">
      <c r="E55" t="s">
        <v>75</v>
      </c>
      <c r="R55" s="17">
        <v>69</v>
      </c>
      <c r="S55" t="s">
        <v>64</v>
      </c>
    </row>
    <row r="56" spans="5:21" x14ac:dyDescent="0.3">
      <c r="Q56">
        <v>3</v>
      </c>
      <c r="R56" s="17">
        <v>18</v>
      </c>
      <c r="S56" t="s">
        <v>65</v>
      </c>
    </row>
    <row r="58" spans="5:21" x14ac:dyDescent="0.3">
      <c r="R58" s="17">
        <v>5</v>
      </c>
      <c r="S58" t="s">
        <v>67</v>
      </c>
    </row>
    <row r="59" spans="5:21" x14ac:dyDescent="0.3">
      <c r="R59" s="17">
        <v>66</v>
      </c>
      <c r="S59" t="s">
        <v>68</v>
      </c>
    </row>
    <row r="60" spans="5:21" x14ac:dyDescent="0.3">
      <c r="Q60">
        <v>4</v>
      </c>
      <c r="R60" s="17">
        <v>19</v>
      </c>
      <c r="S60" t="s">
        <v>69</v>
      </c>
    </row>
    <row r="61" spans="5:21" ht="15" thickBot="1" x14ac:dyDescent="0.35"/>
    <row r="62" spans="5:21" x14ac:dyDescent="0.3">
      <c r="Q62" s="8"/>
      <c r="R62" s="20">
        <v>10</v>
      </c>
      <c r="S62" s="9" t="s">
        <v>72</v>
      </c>
      <c r="T62" s="9"/>
      <c r="U62" s="10"/>
    </row>
    <row r="63" spans="5:21" x14ac:dyDescent="0.3">
      <c r="Q63" s="11"/>
      <c r="R63" s="21">
        <v>54</v>
      </c>
      <c r="S63" s="12" t="s">
        <v>73</v>
      </c>
      <c r="T63" s="12"/>
      <c r="U63" s="13"/>
    </row>
    <row r="64" spans="5:21" ht="15" thickBot="1" x14ac:dyDescent="0.35">
      <c r="Q64" s="14">
        <v>2</v>
      </c>
      <c r="R64" s="22">
        <v>26</v>
      </c>
      <c r="S64" s="15" t="s">
        <v>74</v>
      </c>
      <c r="T64" s="15"/>
      <c r="U64" s="1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B9" sqref="B9"/>
    </sheetView>
  </sheetViews>
  <sheetFormatPr defaultRowHeight="14.4" x14ac:dyDescent="0.3"/>
  <sheetData>
    <row r="1" spans="1:2" x14ac:dyDescent="0.3">
      <c r="A1" t="s">
        <v>19</v>
      </c>
    </row>
    <row r="2" spans="1:2" x14ac:dyDescent="0.3">
      <c r="A2" t="s">
        <v>20</v>
      </c>
    </row>
    <row r="4" spans="1:2" x14ac:dyDescent="0.3">
      <c r="A4" t="s">
        <v>21</v>
      </c>
      <c r="B4">
        <f>3*25.4</f>
        <v>76.199999999999989</v>
      </c>
    </row>
    <row r="5" spans="1:2" x14ac:dyDescent="0.3">
      <c r="A5" t="s">
        <v>22</v>
      </c>
      <c r="B5">
        <f>3*12.25</f>
        <v>36.75</v>
      </c>
    </row>
    <row r="6" spans="1:2" x14ac:dyDescent="0.3">
      <c r="A6" t="s">
        <v>23</v>
      </c>
      <c r="B6">
        <f>10*8</f>
        <v>80</v>
      </c>
    </row>
    <row r="8" spans="1:2" x14ac:dyDescent="0.3">
      <c r="B8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University College London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of Chemistry</dc:creator>
  <cp:lastModifiedBy>Amy Lai</cp:lastModifiedBy>
  <dcterms:created xsi:type="dcterms:W3CDTF">2018-10-14T19:55:13Z</dcterms:created>
  <dcterms:modified xsi:type="dcterms:W3CDTF">2018-12-03T16:28:16Z</dcterms:modified>
</cp:coreProperties>
</file>