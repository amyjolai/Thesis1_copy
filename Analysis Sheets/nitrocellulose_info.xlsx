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Amy\Dropbox\All UCL Related\Year 2 Work\Analysis Sheets\"/>
    </mc:Choice>
  </mc:AlternateContent>
  <bookViews>
    <workbookView xWindow="0" yWindow="0" windowWidth="0" windowHeight="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M19" i="1" s="1"/>
  <c r="M22" i="1" s="1"/>
  <c r="M23" i="1" s="1"/>
  <c r="O20" i="1"/>
  <c r="P20" i="1" s="1"/>
  <c r="P19" i="1"/>
  <c r="O18" i="1"/>
  <c r="P18" i="1" s="1"/>
  <c r="P17" i="1"/>
  <c r="P22" i="1" s="1"/>
  <c r="O17" i="1"/>
  <c r="M20" i="1"/>
  <c r="M18" i="1"/>
  <c r="M17" i="1"/>
  <c r="K18" i="1"/>
  <c r="K19" i="1"/>
  <c r="K20" i="1"/>
  <c r="K17" i="1"/>
  <c r="K22" i="1" s="1"/>
  <c r="K23" i="1" s="1"/>
  <c r="L20" i="1"/>
  <c r="L18" i="1"/>
  <c r="L17" i="1"/>
  <c r="J22" i="1"/>
  <c r="P23" i="1" l="1"/>
  <c r="O12" i="1"/>
  <c r="O10" i="1"/>
  <c r="O9" i="1"/>
  <c r="O8" i="1"/>
  <c r="O7" i="1"/>
  <c r="L12" i="1"/>
  <c r="J12" i="1"/>
</calcChain>
</file>

<file path=xl/sharedStrings.xml><?xml version="1.0" encoding="utf-8"?>
<sst xmlns="http://schemas.openxmlformats.org/spreadsheetml/2006/main" count="21" uniqueCount="14">
  <si>
    <t xml:space="preserve">Nitrocellulose info </t>
  </si>
  <si>
    <t>monomer</t>
  </si>
  <si>
    <t>CH3 di-capped</t>
  </si>
  <si>
    <t>Total No:</t>
  </si>
  <si>
    <t>H</t>
  </si>
  <si>
    <t>C</t>
  </si>
  <si>
    <t>N</t>
  </si>
  <si>
    <t>O</t>
  </si>
  <si>
    <t>Atoms</t>
  </si>
  <si>
    <t>monomer dinitrated</t>
  </si>
  <si>
    <t>monomer mononitrated</t>
  </si>
  <si>
    <t>If no capping, and one O on one end:</t>
  </si>
  <si>
    <t>Total weight</t>
  </si>
  <si>
    <t>%N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</si>
</sst>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6</xdr:col>
      <xdr:colOff>390019</xdr:colOff>
      <xdr:row>25</xdr:row>
      <xdr:rowOff>123333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4047619" cy="3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Q23" sqref="Q23"/>
    </sheetView>
  </sheetViews>
  <sheetFormatPr defaultRowHeight="14.5" x14ac:dyDescent="0.35"/>
  <sheetData>
    <row r="1" spans="1:15" x14ac:dyDescent="0.35">
      <c r="A1" t="s">
        <v>0</v>
      </c>
    </row>
    <row r="4" spans="1:15" x14ac:dyDescent="0.35">
      <c r="A4" t="s">
        <v>1</v>
      </c>
      <c r="B4" t="s">
        <v>2</v>
      </c>
      <c r="L4" t="s">
        <v>9</v>
      </c>
      <c r="O4" t="s">
        <v>10</v>
      </c>
    </row>
    <row r="6" spans="1:15" x14ac:dyDescent="0.35">
      <c r="I6" t="s">
        <v>3</v>
      </c>
    </row>
    <row r="7" spans="1:15" x14ac:dyDescent="0.35">
      <c r="I7" t="s">
        <v>4</v>
      </c>
      <c r="J7">
        <v>13</v>
      </c>
      <c r="L7">
        <v>14</v>
      </c>
      <c r="O7">
        <f>L7+1</f>
        <v>15</v>
      </c>
    </row>
    <row r="8" spans="1:15" x14ac:dyDescent="0.35">
      <c r="I8" t="s">
        <v>5</v>
      </c>
      <c r="J8">
        <v>8</v>
      </c>
      <c r="L8">
        <v>8</v>
      </c>
      <c r="O8">
        <f>L8</f>
        <v>8</v>
      </c>
    </row>
    <row r="9" spans="1:15" x14ac:dyDescent="0.35">
      <c r="I9" t="s">
        <v>6</v>
      </c>
      <c r="J9">
        <v>3</v>
      </c>
      <c r="L9">
        <v>2</v>
      </c>
      <c r="O9">
        <f>L9-1</f>
        <v>1</v>
      </c>
    </row>
    <row r="10" spans="1:15" x14ac:dyDescent="0.35">
      <c r="I10" t="s">
        <v>7</v>
      </c>
      <c r="J10">
        <v>12</v>
      </c>
      <c r="L10">
        <v>10</v>
      </c>
      <c r="O10">
        <f>L10-2</f>
        <v>8</v>
      </c>
    </row>
    <row r="12" spans="1:15" x14ac:dyDescent="0.35">
      <c r="I12" t="s">
        <v>8</v>
      </c>
      <c r="J12">
        <f>SUM(J7:J10)</f>
        <v>36</v>
      </c>
      <c r="L12">
        <f>SUM(L7:L10)</f>
        <v>34</v>
      </c>
      <c r="O12">
        <f>SUM(O7:O10)</f>
        <v>32</v>
      </c>
    </row>
    <row r="16" spans="1:15" x14ac:dyDescent="0.35">
      <c r="I16" t="s">
        <v>11</v>
      </c>
      <c r="K16" t="s">
        <v>12</v>
      </c>
    </row>
    <row r="17" spans="8:17" x14ac:dyDescent="0.35">
      <c r="H17">
        <v>1</v>
      </c>
      <c r="I17" t="s">
        <v>4</v>
      </c>
      <c r="J17">
        <v>7</v>
      </c>
      <c r="K17">
        <f>J17*$H17</f>
        <v>7</v>
      </c>
      <c r="L17">
        <f>L7-6</f>
        <v>8</v>
      </c>
      <c r="M17">
        <f>L17*$H17</f>
        <v>8</v>
      </c>
      <c r="O17">
        <f>O7-6</f>
        <v>9</v>
      </c>
      <c r="P17">
        <f>O17*$H17</f>
        <v>9</v>
      </c>
    </row>
    <row r="18" spans="8:17" x14ac:dyDescent="0.35">
      <c r="H18">
        <v>12</v>
      </c>
      <c r="I18" t="s">
        <v>5</v>
      </c>
      <c r="J18">
        <v>6</v>
      </c>
      <c r="K18">
        <f t="shared" ref="K18:M20" si="0">J18*$H18</f>
        <v>72</v>
      </c>
      <c r="L18">
        <f>L8-2</f>
        <v>6</v>
      </c>
      <c r="M18">
        <f t="shared" si="0"/>
        <v>72</v>
      </c>
      <c r="O18">
        <f>O8-2</f>
        <v>6</v>
      </c>
      <c r="P18">
        <f t="shared" ref="P18" si="1">O18*$H18</f>
        <v>72</v>
      </c>
    </row>
    <row r="19" spans="8:17" x14ac:dyDescent="0.35">
      <c r="H19">
        <v>14</v>
      </c>
      <c r="I19" t="s">
        <v>6</v>
      </c>
      <c r="J19">
        <v>3</v>
      </c>
      <c r="K19">
        <f t="shared" si="0"/>
        <v>42</v>
      </c>
      <c r="L19">
        <f>L9</f>
        <v>2</v>
      </c>
      <c r="M19">
        <f t="shared" si="0"/>
        <v>28</v>
      </c>
      <c r="O19">
        <v>1</v>
      </c>
      <c r="P19">
        <f t="shared" ref="P19" si="2">O19*$H19</f>
        <v>14</v>
      </c>
    </row>
    <row r="20" spans="8:17" x14ac:dyDescent="0.35">
      <c r="H20">
        <v>16</v>
      </c>
      <c r="I20" t="s">
        <v>7</v>
      </c>
      <c r="J20">
        <v>11</v>
      </c>
      <c r="K20">
        <f t="shared" si="0"/>
        <v>176</v>
      </c>
      <c r="L20">
        <f>L10-1</f>
        <v>9</v>
      </c>
      <c r="M20">
        <f t="shared" si="0"/>
        <v>144</v>
      </c>
      <c r="O20">
        <f>O10-1</f>
        <v>7</v>
      </c>
      <c r="P20">
        <f t="shared" ref="P20" si="3">O20*$H20</f>
        <v>112</v>
      </c>
    </row>
    <row r="22" spans="8:17" x14ac:dyDescent="0.35">
      <c r="I22" t="s">
        <v>8</v>
      </c>
      <c r="J22">
        <f>SUM(J17:J20)</f>
        <v>27</v>
      </c>
      <c r="K22">
        <f>SUM(K17:K20)</f>
        <v>297</v>
      </c>
      <c r="M22">
        <f>SUM(M17:M20)</f>
        <v>252</v>
      </c>
      <c r="P22">
        <f>SUM(P17:P20)</f>
        <v>207</v>
      </c>
    </row>
    <row r="23" spans="8:17" x14ac:dyDescent="0.35">
      <c r="K23">
        <f>K19/K22</f>
        <v>0.14141414141414141</v>
      </c>
      <c r="L23" t="s">
        <v>13</v>
      </c>
      <c r="M23">
        <f>M19/M22</f>
        <v>0.1111111111111111</v>
      </c>
      <c r="N23" t="s">
        <v>13</v>
      </c>
      <c r="P23">
        <f>P19/P22</f>
        <v>6.7632850241545889E-2</v>
      </c>
      <c r="Q23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North-West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LAMM-05</dc:creator>
  <cp:lastModifiedBy>Amy Lai</cp:lastModifiedBy>
  <dcterms:created xsi:type="dcterms:W3CDTF">2017-08-01T13:06:44Z</dcterms:created>
  <dcterms:modified xsi:type="dcterms:W3CDTF">2017-08-02T12:06:59Z</dcterms:modified>
</cp:coreProperties>
</file>