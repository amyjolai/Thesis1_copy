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ropbox\All UCL Related\Year 2 Work\"/>
    </mc:Choice>
  </mc:AlternateContent>
  <bookViews>
    <workbookView xWindow="0" yWindow="0" windowWidth="25200" windowHeight="11850"/>
  </bookViews>
  <sheets>
    <sheet name="Sheet1" sheetId="1" r:id="rId1"/>
  </sheets>
  <definedNames>
    <definedName name="elimhono_PETN_manualHscan" localSheetId="0">Sheet1!$A$2:$B$31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8" i="1" l="1"/>
  <c r="P8" i="1"/>
  <c r="N8" i="1"/>
  <c r="Q8" i="1"/>
  <c r="L8" i="1"/>
  <c r="J25" i="1" l="1"/>
  <c r="K25" i="1"/>
  <c r="K24" i="1"/>
  <c r="J24" i="1"/>
  <c r="K23" i="1"/>
  <c r="J23" i="1"/>
  <c r="K22" i="1"/>
  <c r="J22" i="1"/>
  <c r="G25" i="1"/>
  <c r="F25" i="1"/>
  <c r="E25" i="1"/>
  <c r="G24" i="1"/>
  <c r="F24" i="1"/>
  <c r="E24" i="1"/>
  <c r="G23" i="1"/>
  <c r="F23" i="1"/>
  <c r="E23" i="1"/>
  <c r="G22" i="1"/>
  <c r="F22" i="1"/>
  <c r="E22" i="1"/>
  <c r="D24" i="1"/>
  <c r="C24" i="1"/>
  <c r="C22" i="1"/>
  <c r="D22" i="1"/>
  <c r="C23" i="1"/>
  <c r="D23" i="1"/>
  <c r="C25" i="1"/>
  <c r="D25" i="1"/>
  <c r="B25" i="1"/>
  <c r="B24" i="1"/>
  <c r="B23" i="1"/>
  <c r="B22" i="1"/>
  <c r="D17" i="1"/>
  <c r="D18" i="1"/>
  <c r="D19" i="1"/>
  <c r="D16" i="1"/>
  <c r="G16" i="1" s="1"/>
  <c r="C17" i="1"/>
  <c r="F17" i="1" s="1"/>
  <c r="K17" i="1" s="1"/>
  <c r="C18" i="1"/>
  <c r="F18" i="1" s="1"/>
  <c r="K18" i="1" s="1"/>
  <c r="C19" i="1"/>
  <c r="C16" i="1"/>
  <c r="F16" i="1" s="1"/>
  <c r="J16" i="1" s="1"/>
  <c r="B17" i="1"/>
  <c r="B18" i="1"/>
  <c r="G18" i="1" s="1"/>
  <c r="B19" i="1"/>
  <c r="E19" i="1" s="1"/>
  <c r="B16" i="1"/>
  <c r="G17" i="1"/>
  <c r="E17" i="1"/>
  <c r="E16" i="1"/>
  <c r="P9" i="1"/>
  <c r="P10" i="1"/>
  <c r="P11" i="1"/>
  <c r="Q9" i="1"/>
  <c r="Q10" i="1"/>
  <c r="Q11" i="1"/>
  <c r="J11" i="1"/>
  <c r="K10" i="1"/>
  <c r="K9" i="1"/>
  <c r="K11" i="1"/>
  <c r="K8" i="1"/>
  <c r="J9" i="1"/>
  <c r="J10" i="1"/>
  <c r="J8" i="1"/>
  <c r="F8" i="1"/>
  <c r="G10" i="1"/>
  <c r="F11" i="1"/>
  <c r="G11" i="1"/>
  <c r="F10" i="1"/>
  <c r="F9" i="1"/>
  <c r="G9" i="1"/>
  <c r="G8" i="1"/>
  <c r="E9" i="1"/>
  <c r="E10" i="1"/>
  <c r="E11" i="1"/>
  <c r="E8" i="1"/>
  <c r="E18" i="1" l="1"/>
  <c r="F19" i="1"/>
  <c r="J18" i="1"/>
  <c r="G19" i="1"/>
  <c r="J17" i="1"/>
  <c r="K16" i="1"/>
  <c r="K19" i="1" l="1"/>
  <c r="J19" i="1"/>
</calcChain>
</file>

<file path=xl/connections.xml><?xml version="1.0" encoding="utf-8"?>
<connections xmlns="http://schemas.openxmlformats.org/spreadsheetml/2006/main">
  <connection id="1" name="elimhono_PETN_manualHscan" type="6" refreshedVersion="6" background="1" saveData="1">
    <textPr codePage="850" sourceFile="C:\Users\User\Dropbox\All UCL Related\Year 2 Work\elimhono_PETN_manualHscan.txt" consecutive="1" qualifier="none" delimiter="=">
      <textFields count="2">
        <textField/>
        <textField/>
      </textFields>
    </textPr>
  </connection>
</connections>
</file>

<file path=xl/sharedStrings.xml><?xml version="1.0" encoding="utf-8"?>
<sst xmlns="http://schemas.openxmlformats.org/spreadsheetml/2006/main" count="32" uniqueCount="26">
  <si>
    <t>REACT_forIRC_TS_freq_ZMAT_PETN.out</t>
  </si>
  <si>
    <t xml:space="preserve"> SCF Done:  E(UwB97XD) </t>
  </si>
  <si>
    <t xml:space="preserve"> Zero-point correction</t>
  </si>
  <si>
    <t xml:space="preserve"> Thermal correction to Energy</t>
  </si>
  <si>
    <t xml:space="preserve"> Thermal correction to Enthalpy</t>
  </si>
  <si>
    <t xml:space="preserve"> Thermal correction to Gibbs Free Energy</t>
  </si>
  <si>
    <t xml:space="preserve"> Sum of electronic and zero-point Energies</t>
  </si>
  <si>
    <t xml:space="preserve"> Sum of electronic and thermal Energies</t>
  </si>
  <si>
    <t xml:space="preserve"> Sum of electronic and thermal Enthalpies</t>
  </si>
  <si>
    <t xml:space="preserve"> Sum of electronic and thermal Free Energies</t>
  </si>
  <si>
    <t>TS_freq_ZMAT_PETN_C-H_16.out</t>
  </si>
  <si>
    <t>PROD_revIRC_TS_freq_ZMAT_PETN.out</t>
  </si>
  <si>
    <t>Noramlised to Re</t>
  </si>
  <si>
    <t xml:space="preserve">Energy / </t>
  </si>
  <si>
    <t>Re</t>
  </si>
  <si>
    <t>TS</t>
  </si>
  <si>
    <t>Pr</t>
  </si>
  <si>
    <t>Delta Re -&gt; TS</t>
  </si>
  <si>
    <t>kJ/mol</t>
  </si>
  <si>
    <t>kCal/mol</t>
  </si>
  <si>
    <t>Delta Ts -&gt; Pr</t>
  </si>
  <si>
    <t>Total Reaction</t>
  </si>
  <si>
    <t>Removing ZPEs:</t>
  </si>
  <si>
    <t>Removing thermal corrections:</t>
  </si>
  <si>
    <t>Still nowhere near!!</t>
  </si>
  <si>
    <t>Why is my activation Energy so much higher??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</si>
</sst>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0" borderId="4" xfId="0" applyFont="1" applyBorder="1"/>
    <xf numFmtId="0" fontId="0" fillId="0" borderId="0" xfId="0" applyBorder="1"/>
    <xf numFmtId="0" fontId="0" fillId="0" borderId="5" xfId="0" applyBorder="1"/>
    <xf numFmtId="0" fontId="0" fillId="0" borderId="4" xfId="0" applyBorder="1"/>
    <xf numFmtId="0" fontId="1" fillId="0" borderId="0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4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elimhono_PETN_manualHscan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5"/>
  <sheetViews>
    <sheetView tabSelected="1" topLeftCell="C1" workbookViewId="0">
      <selection activeCell="N18" sqref="N18"/>
    </sheetView>
  </sheetViews>
  <sheetFormatPr defaultRowHeight="15" x14ac:dyDescent="0.25"/>
  <cols>
    <col min="1" max="1" width="41.42578125" bestFit="1" customWidth="1"/>
    <col min="2" max="2" width="36.7109375" bestFit="1" customWidth="1"/>
    <col min="3" max="3" width="30.7109375" bestFit="1" customWidth="1"/>
    <col min="4" max="4" width="36.42578125" bestFit="1" customWidth="1"/>
    <col min="5" max="5" width="16.42578125" bestFit="1" customWidth="1"/>
    <col min="6" max="6" width="9" bestFit="1" customWidth="1"/>
    <col min="7" max="7" width="9.7109375" bestFit="1" customWidth="1"/>
    <col min="9" max="9" width="13.140625" bestFit="1" customWidth="1"/>
    <col min="10" max="10" width="8.7109375" bestFit="1" customWidth="1"/>
    <col min="11" max="11" width="9" bestFit="1" customWidth="1"/>
    <col min="12" max="12" width="12.42578125" bestFit="1" customWidth="1"/>
    <col min="13" max="13" width="8.7109375" bestFit="1" customWidth="1"/>
    <col min="14" max="14" width="9" bestFit="1" customWidth="1"/>
    <col min="15" max="15" width="13.7109375" bestFit="1" customWidth="1"/>
    <col min="16" max="16" width="8.7109375" bestFit="1" customWidth="1"/>
    <col min="17" max="17" width="9" bestFit="1" customWidth="1"/>
  </cols>
  <sheetData>
    <row r="1" spans="1:17" x14ac:dyDescent="0.25">
      <c r="E1" t="s">
        <v>12</v>
      </c>
      <c r="I1" s="1"/>
      <c r="J1" s="2" t="s">
        <v>13</v>
      </c>
      <c r="K1" s="3"/>
      <c r="L1" s="2"/>
      <c r="M1" s="2" t="s">
        <v>13</v>
      </c>
      <c r="N1" s="2"/>
      <c r="O1" s="1"/>
      <c r="P1" s="2" t="s">
        <v>13</v>
      </c>
      <c r="Q1" s="3"/>
    </row>
    <row r="2" spans="1:17" x14ac:dyDescent="0.25">
      <c r="B2" t="s">
        <v>0</v>
      </c>
      <c r="C2" t="s">
        <v>10</v>
      </c>
      <c r="D2" t="s">
        <v>11</v>
      </c>
      <c r="E2" t="s">
        <v>14</v>
      </c>
      <c r="F2" t="s">
        <v>15</v>
      </c>
      <c r="G2" t="s">
        <v>16</v>
      </c>
      <c r="I2" s="4" t="s">
        <v>17</v>
      </c>
      <c r="J2" s="5" t="s">
        <v>18</v>
      </c>
      <c r="K2" s="6" t="s">
        <v>19</v>
      </c>
      <c r="L2" s="8" t="s">
        <v>20</v>
      </c>
      <c r="M2" s="5" t="s">
        <v>18</v>
      </c>
      <c r="N2" s="5" t="s">
        <v>19</v>
      </c>
      <c r="O2" s="12" t="s">
        <v>21</v>
      </c>
      <c r="P2" s="5" t="s">
        <v>18</v>
      </c>
      <c r="Q2" s="6" t="s">
        <v>19</v>
      </c>
    </row>
    <row r="3" spans="1:17" x14ac:dyDescent="0.25">
      <c r="A3" t="s">
        <v>1</v>
      </c>
      <c r="B3">
        <v>-1316.18081381</v>
      </c>
      <c r="C3">
        <v>-1316.14391587</v>
      </c>
      <c r="D3">
        <v>-1316.2122994900001</v>
      </c>
      <c r="I3" s="7"/>
      <c r="J3" s="5"/>
      <c r="K3" s="6"/>
      <c r="O3" s="7"/>
      <c r="P3" s="5"/>
      <c r="Q3" s="6"/>
    </row>
    <row r="4" spans="1:17" x14ac:dyDescent="0.25">
      <c r="A4" t="s">
        <v>2</v>
      </c>
      <c r="B4">
        <v>0.19330700000000001</v>
      </c>
      <c r="C4">
        <v>0.185251</v>
      </c>
      <c r="D4">
        <v>0.18809300000000001</v>
      </c>
      <c r="I4" s="7"/>
      <c r="J4" s="5"/>
      <c r="K4" s="6"/>
      <c r="O4" s="7"/>
      <c r="P4" s="5"/>
      <c r="Q4" s="6"/>
    </row>
    <row r="5" spans="1:17" x14ac:dyDescent="0.25">
      <c r="A5" t="s">
        <v>3</v>
      </c>
      <c r="B5">
        <v>0.213116</v>
      </c>
      <c r="C5">
        <v>0.20524400000000001</v>
      </c>
      <c r="D5">
        <v>0.210317</v>
      </c>
      <c r="I5" s="7"/>
      <c r="J5" s="5"/>
      <c r="K5" s="6"/>
      <c r="O5" s="7"/>
      <c r="P5" s="5"/>
      <c r="Q5" s="6"/>
    </row>
    <row r="6" spans="1:17" x14ac:dyDescent="0.25">
      <c r="A6" t="s">
        <v>4</v>
      </c>
      <c r="B6">
        <v>0.214061</v>
      </c>
      <c r="C6">
        <v>0.20618800000000001</v>
      </c>
      <c r="D6">
        <v>0.21126200000000001</v>
      </c>
      <c r="I6" s="7"/>
      <c r="J6" s="5"/>
      <c r="K6" s="6"/>
      <c r="O6" s="7"/>
      <c r="P6" s="5"/>
      <c r="Q6" s="6"/>
    </row>
    <row r="7" spans="1:17" x14ac:dyDescent="0.25">
      <c r="A7" t="s">
        <v>5</v>
      </c>
      <c r="B7">
        <v>0.13999200000000001</v>
      </c>
      <c r="C7">
        <v>0.132243</v>
      </c>
      <c r="D7">
        <v>0.13034699999999999</v>
      </c>
      <c r="I7" s="7"/>
      <c r="J7" s="5"/>
      <c r="K7" s="6"/>
      <c r="O7" s="7"/>
      <c r="P7" s="5"/>
      <c r="Q7" s="6"/>
    </row>
    <row r="8" spans="1:17" x14ac:dyDescent="0.25">
      <c r="A8" t="s">
        <v>6</v>
      </c>
      <c r="B8">
        <v>-1315.9875070000001</v>
      </c>
      <c r="C8">
        <v>-1315.9586650000001</v>
      </c>
      <c r="D8">
        <v>-1316.0242069999999</v>
      </c>
      <c r="E8">
        <f>B8-$B8</f>
        <v>0</v>
      </c>
      <c r="F8">
        <f>C8-$B8</f>
        <v>2.8841999999940526E-2</v>
      </c>
      <c r="G8">
        <f t="shared" ref="F8:G11" si="0">D8-$B8</f>
        <v>-3.6699999999882493E-2</v>
      </c>
      <c r="I8" s="7"/>
      <c r="J8" s="5">
        <f>F8*2600</f>
        <v>74.989199999845368</v>
      </c>
      <c r="K8" s="6">
        <f>F8*630</f>
        <v>18.170459999962532</v>
      </c>
      <c r="L8">
        <f>F8+G8</f>
        <v>-7.857999999941967E-3</v>
      </c>
      <c r="M8">
        <f>L8*2600</f>
        <v>-20.430799999849114</v>
      </c>
      <c r="N8">
        <f>L8*630</f>
        <v>-4.9505399999634392</v>
      </c>
      <c r="O8" s="7"/>
      <c r="P8" s="5">
        <f>G8*2600</f>
        <v>-95.419999999694483</v>
      </c>
      <c r="Q8" s="6">
        <f>G8*630</f>
        <v>-23.120999999925971</v>
      </c>
    </row>
    <row r="9" spans="1:17" x14ac:dyDescent="0.25">
      <c r="A9" t="s">
        <v>7</v>
      </c>
      <c r="B9">
        <v>-1315.967697</v>
      </c>
      <c r="C9">
        <v>-1315.938672</v>
      </c>
      <c r="D9">
        <v>-1316.001982</v>
      </c>
      <c r="E9">
        <f t="shared" ref="E9:E11" si="1">B9-$B9</f>
        <v>0</v>
      </c>
      <c r="F9">
        <f t="shared" si="0"/>
        <v>2.902500000004693E-2</v>
      </c>
      <c r="G9">
        <f t="shared" si="0"/>
        <v>-3.428499999995438E-2</v>
      </c>
      <c r="I9" s="7"/>
      <c r="J9" s="5">
        <f t="shared" ref="J9:J11" si="2">F9*2600</f>
        <v>75.465000000122018</v>
      </c>
      <c r="K9" s="6">
        <f t="shared" ref="K9:K11" si="3">F9*630</f>
        <v>18.285750000029566</v>
      </c>
      <c r="O9" s="7"/>
      <c r="P9" s="5">
        <f t="shared" ref="P9:P11" si="4">G9*2600</f>
        <v>-89.140999999881387</v>
      </c>
      <c r="Q9" s="6">
        <f t="shared" ref="Q9:Q11" si="5">G9*630</f>
        <v>-21.599549999971259</v>
      </c>
    </row>
    <row r="10" spans="1:17" x14ac:dyDescent="0.25">
      <c r="A10" t="s">
        <v>8</v>
      </c>
      <c r="B10">
        <v>-1315.9667529999999</v>
      </c>
      <c r="C10">
        <v>-1315.937727</v>
      </c>
      <c r="D10">
        <v>-1316.0010380000001</v>
      </c>
      <c r="E10">
        <f t="shared" si="1"/>
        <v>0</v>
      </c>
      <c r="F10">
        <f t="shared" si="0"/>
        <v>2.9025999999930718E-2</v>
      </c>
      <c r="G10">
        <f>D10-$B10</f>
        <v>-3.4285000000181753E-2</v>
      </c>
      <c r="I10" s="7"/>
      <c r="J10" s="5">
        <f t="shared" si="2"/>
        <v>75.467599999819868</v>
      </c>
      <c r="K10" s="6">
        <f>F10*630</f>
        <v>18.286379999956353</v>
      </c>
      <c r="O10" s="7"/>
      <c r="P10" s="5">
        <f t="shared" si="4"/>
        <v>-89.141000000472559</v>
      </c>
      <c r="Q10" s="6">
        <f t="shared" si="5"/>
        <v>-21.599550000114505</v>
      </c>
    </row>
    <row r="11" spans="1:17" ht="15.75" thickBot="1" x14ac:dyDescent="0.3">
      <c r="A11" t="s">
        <v>9</v>
      </c>
      <c r="B11">
        <v>-1316.0408219999999</v>
      </c>
      <c r="C11">
        <v>-1316.011673</v>
      </c>
      <c r="D11">
        <v>-1316.081952</v>
      </c>
      <c r="E11">
        <f t="shared" si="1"/>
        <v>0</v>
      </c>
      <c r="F11">
        <f t="shared" si="0"/>
        <v>2.9148999999961234E-2</v>
      </c>
      <c r="G11">
        <f t="shared" si="0"/>
        <v>-4.1130000000066502E-2</v>
      </c>
      <c r="I11" s="9"/>
      <c r="J11" s="10">
        <f>F11*2600</f>
        <v>75.787399999899208</v>
      </c>
      <c r="K11" s="11">
        <f t="shared" si="3"/>
        <v>18.363869999975577</v>
      </c>
      <c r="O11" s="9"/>
      <c r="P11" s="10">
        <f t="shared" si="4"/>
        <v>-106.93800000017291</v>
      </c>
      <c r="Q11" s="11">
        <f t="shared" si="5"/>
        <v>-25.911900000041896</v>
      </c>
    </row>
    <row r="15" spans="1:17" x14ac:dyDescent="0.25">
      <c r="A15" t="s">
        <v>24</v>
      </c>
      <c r="B15" t="s">
        <v>22</v>
      </c>
    </row>
    <row r="16" spans="1:17" x14ac:dyDescent="0.25">
      <c r="A16" t="s">
        <v>25</v>
      </c>
      <c r="B16">
        <f>B8+$B$4</f>
        <v>-1315.7942</v>
      </c>
      <c r="C16">
        <f>C8+$C$4</f>
        <v>-1315.773414</v>
      </c>
      <c r="D16">
        <f>D8+$D$4</f>
        <v>-1315.836114</v>
      </c>
      <c r="E16">
        <f>B16-$B16</f>
        <v>0</v>
      </c>
      <c r="F16">
        <f>C16-$B16</f>
        <v>2.0786000000043714E-2</v>
      </c>
      <c r="G16">
        <f t="shared" ref="G16:G19" si="6">D16-$B16</f>
        <v>-4.1913999999906082E-2</v>
      </c>
      <c r="I16" s="7"/>
      <c r="J16" s="5">
        <f>F16*2600</f>
        <v>54.043600000113656</v>
      </c>
      <c r="K16" s="6">
        <f>F16*630</f>
        <v>13.09518000002754</v>
      </c>
    </row>
    <row r="17" spans="2:11" x14ac:dyDescent="0.25">
      <c r="B17">
        <f t="shared" ref="B17:B19" si="7">B9+$B$4</f>
        <v>-1315.77439</v>
      </c>
      <c r="C17">
        <f t="shared" ref="C17:C19" si="8">C9+$C$4</f>
        <v>-1315.7534209999999</v>
      </c>
      <c r="D17">
        <f t="shared" ref="D17:D19" si="9">D9+$D$4</f>
        <v>-1315.813889</v>
      </c>
      <c r="E17">
        <f t="shared" ref="E17:E19" si="10">B17-$B17</f>
        <v>0</v>
      </c>
      <c r="F17">
        <f t="shared" ref="F17:F19" si="11">C17-$B17</f>
        <v>2.0969000000150118E-2</v>
      </c>
      <c r="G17">
        <f t="shared" si="6"/>
        <v>-3.9498999999977968E-2</v>
      </c>
      <c r="I17" s="7"/>
      <c r="J17" s="5">
        <f t="shared" ref="J17:J19" si="12">F17*2600</f>
        <v>54.519400000390306</v>
      </c>
      <c r="K17" s="6">
        <f t="shared" ref="K17:K19" si="13">F17*630</f>
        <v>13.210470000094574</v>
      </c>
    </row>
    <row r="18" spans="2:11" x14ac:dyDescent="0.25">
      <c r="B18">
        <f t="shared" si="7"/>
        <v>-1315.7734459999999</v>
      </c>
      <c r="C18">
        <f t="shared" si="8"/>
        <v>-1315.7524759999999</v>
      </c>
      <c r="D18">
        <f t="shared" si="9"/>
        <v>-1315.8129450000001</v>
      </c>
      <c r="E18">
        <f t="shared" si="10"/>
        <v>0</v>
      </c>
      <c r="F18">
        <f t="shared" si="11"/>
        <v>2.0970000000033906E-2</v>
      </c>
      <c r="G18">
        <f>D18-$B18</f>
        <v>-3.9499000000205342E-2</v>
      </c>
      <c r="I18" s="7"/>
      <c r="J18" s="5">
        <f t="shared" si="12"/>
        <v>54.522000000088156</v>
      </c>
      <c r="K18" s="6">
        <f>F18*630</f>
        <v>13.211100000021361</v>
      </c>
    </row>
    <row r="19" spans="2:11" ht="15.75" thickBot="1" x14ac:dyDescent="0.3">
      <c r="B19">
        <f t="shared" si="7"/>
        <v>-1315.8475149999999</v>
      </c>
      <c r="C19">
        <f t="shared" si="8"/>
        <v>-1315.8264219999999</v>
      </c>
      <c r="D19">
        <f t="shared" si="9"/>
        <v>-1315.893859</v>
      </c>
      <c r="E19">
        <f t="shared" si="10"/>
        <v>0</v>
      </c>
      <c r="F19">
        <f t="shared" si="11"/>
        <v>2.1093000000064421E-2</v>
      </c>
      <c r="G19">
        <f t="shared" ref="G19" si="14">D19-$B19</f>
        <v>-4.6344000000090091E-2</v>
      </c>
      <c r="I19" s="9"/>
      <c r="J19" s="10">
        <f>F19*2600</f>
        <v>54.841800000167495</v>
      </c>
      <c r="K19" s="11">
        <f t="shared" ref="K19" si="15">F19*630</f>
        <v>13.288590000040585</v>
      </c>
    </row>
    <row r="21" spans="2:11" x14ac:dyDescent="0.25">
      <c r="B21" t="s">
        <v>23</v>
      </c>
    </row>
    <row r="22" spans="2:11" x14ac:dyDescent="0.25">
      <c r="B22">
        <f>B8+B4</f>
        <v>-1315.7942</v>
      </c>
      <c r="C22">
        <f>C8+C4</f>
        <v>-1315.773414</v>
      </c>
      <c r="D22">
        <f t="shared" ref="C22:D22" si="16">D8+D4</f>
        <v>-1315.836114</v>
      </c>
      <c r="E22">
        <f>B22-$B22</f>
        <v>0</v>
      </c>
      <c r="F22">
        <f>C22-$B22</f>
        <v>2.0786000000043714E-2</v>
      </c>
      <c r="G22">
        <f t="shared" ref="G22:G25" si="17">D22-$B22</f>
        <v>-4.1913999999906082E-2</v>
      </c>
      <c r="J22">
        <f>F22*2600</f>
        <v>54.043600000113656</v>
      </c>
      <c r="K22">
        <f>F22*630</f>
        <v>13.09518000002754</v>
      </c>
    </row>
    <row r="23" spans="2:11" x14ac:dyDescent="0.25">
      <c r="B23">
        <f>B9+B5</f>
        <v>-1315.7545810000001</v>
      </c>
      <c r="C23">
        <f t="shared" ref="C23:D23" si="18">C9+C5</f>
        <v>-1315.733428</v>
      </c>
      <c r="D23">
        <f t="shared" si="18"/>
        <v>-1315.791665</v>
      </c>
      <c r="E23">
        <f t="shared" ref="E23:E25" si="19">B23-$B23</f>
        <v>0</v>
      </c>
      <c r="F23">
        <f t="shared" ref="F23:F25" si="20">C23-$B23</f>
        <v>2.115300000014031E-2</v>
      </c>
      <c r="G23">
        <f t="shared" si="17"/>
        <v>-3.7083999999822481E-2</v>
      </c>
      <c r="J23">
        <f t="shared" ref="J23:J25" si="21">F23*2600</f>
        <v>54.997800000364805</v>
      </c>
      <c r="K23">
        <f t="shared" ref="K23:K25" si="22">F23*630</f>
        <v>13.326390000088395</v>
      </c>
    </row>
    <row r="24" spans="2:11" x14ac:dyDescent="0.25">
      <c r="B24">
        <f>B10+B6</f>
        <v>-1315.752692</v>
      </c>
      <c r="C24">
        <f>C10+C6</f>
        <v>-1315.7315389999999</v>
      </c>
      <c r="D24">
        <f>D10+D6</f>
        <v>-1315.7897760000001</v>
      </c>
      <c r="E24">
        <f t="shared" si="19"/>
        <v>0</v>
      </c>
      <c r="F24">
        <f t="shared" si="20"/>
        <v>2.115300000014031E-2</v>
      </c>
      <c r="G24">
        <f>D24-$B24</f>
        <v>-3.7084000000049855E-2</v>
      </c>
      <c r="J24">
        <f t="shared" si="21"/>
        <v>54.997800000364805</v>
      </c>
      <c r="K24">
        <f>F24*630</f>
        <v>13.326390000088395</v>
      </c>
    </row>
    <row r="25" spans="2:11" x14ac:dyDescent="0.25">
      <c r="B25">
        <f>B11+B7</f>
        <v>-1315.90083</v>
      </c>
      <c r="C25">
        <f t="shared" ref="C25:D25" si="23">C11+C7</f>
        <v>-1315.87943</v>
      </c>
      <c r="D25">
        <f t="shared" si="23"/>
        <v>-1315.951605</v>
      </c>
      <c r="E25">
        <f t="shared" si="19"/>
        <v>0</v>
      </c>
      <c r="F25">
        <f t="shared" si="20"/>
        <v>2.1400000000085129E-2</v>
      </c>
      <c r="G25">
        <f t="shared" ref="G25" si="24">D25-$B25</f>
        <v>-5.0774999999930515E-2</v>
      </c>
      <c r="J25">
        <f>F25*2600</f>
        <v>55.640000000221335</v>
      </c>
      <c r="K25">
        <f t="shared" ref="K25" si="25">F25*630</f>
        <v>13.482000000053631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Sheet1!elimhono_PETN_manualHscan</vt:lpstr>
    </vt:vector>
  </TitlesOfParts>
  <Company>University College London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Department of Chemistry</dc:creator>
  <cp:lastModifiedBy>Department of Chemistry</cp:lastModifiedBy>
  <dcterms:created xsi:type="dcterms:W3CDTF">2017-05-11T17:29:15Z</dcterms:created>
  <dcterms:modified xsi:type="dcterms:W3CDTF">2017-05-25T11:27:52Z</dcterms:modified>
</cp:coreProperties>
</file>