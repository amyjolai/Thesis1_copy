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6D05F734-E8FF-4851-82D9-6E1E427E4AAA}" xr6:coauthVersionLast="36" xr6:coauthVersionMax="36" xr10:uidLastSave="{00000000-0000-0000-0000-000000000000}"/>
  <bookViews>
    <workbookView xWindow="0" yWindow="0" windowWidth="28800" windowHeight="12890" firstSheet="1" activeTab="2" xr2:uid="{00000000-000D-0000-FFFF-FFFF00000000}"/>
  </bookViews>
  <sheets>
    <sheet name="MMopt or nah" sheetId="7" state="hidden" r:id="rId1"/>
    <sheet name="full_list" sheetId="15" r:id="rId2"/>
    <sheet name="Collation" sheetId="14" r:id="rId3"/>
    <sheet name="Sheet1" sheetId="16" r:id="rId4"/>
    <sheet name="Lvl1-Dimer" sheetId="6" r:id="rId5"/>
    <sheet name="Lvl2" sheetId="12" r:id="rId6"/>
    <sheet name="Lvl3" sheetId="13" r:id="rId7"/>
    <sheet name="Lvl4" sheetId="11" r:id="rId8"/>
    <sheet name="Lvl5" sheetId="4" r:id="rId9"/>
    <sheet name="63_63-route" sheetId="8" state="hidden" r:id="rId10"/>
    <sheet name="NC3_3-hi" sheetId="5" r:id="rId11"/>
    <sheet name="Lvl5_solv" sheetId="10" state="hidden" r:id="rId12"/>
  </sheets>
  <definedNames>
    <definedName name="ExternalData_1" localSheetId="9" hidden="1">'63_63-route'!$A$1:$B$25</definedName>
    <definedName name="ExternalData_1" localSheetId="8" hidden="1">'Lvl5'!$A$1:$B$85</definedName>
    <definedName name="ExternalData_1" localSheetId="11" hidden="1">Lvl5_solv!$A$1:$B$61</definedName>
    <definedName name="ExternalData_1" localSheetId="10" hidden="1">'NC3_3-hi'!$A$1:$B$14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27" i="4" l="1"/>
  <c r="AA5" i="16" l="1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AA30" i="16"/>
  <c r="AA29" i="16"/>
  <c r="AA28" i="16"/>
  <c r="AA27" i="16"/>
  <c r="AA26" i="16"/>
  <c r="AA25" i="16"/>
  <c r="AA24" i="16"/>
  <c r="AA23" i="16"/>
  <c r="AA22" i="16"/>
  <c r="AA21" i="16"/>
  <c r="AA20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J80" i="16"/>
  <c r="I80" i="16"/>
  <c r="H80" i="16"/>
  <c r="G80" i="16"/>
  <c r="F80" i="16"/>
  <c r="E80" i="16"/>
  <c r="D80" i="16"/>
  <c r="K65" i="16"/>
  <c r="J65" i="16"/>
  <c r="I65" i="16"/>
  <c r="H65" i="16"/>
  <c r="G65" i="16"/>
  <c r="F65" i="16"/>
  <c r="E65" i="16"/>
  <c r="D65" i="16"/>
  <c r="M50" i="16"/>
  <c r="L50" i="16"/>
  <c r="K50" i="16"/>
  <c r="J50" i="16"/>
  <c r="I50" i="16"/>
  <c r="H50" i="16"/>
  <c r="G50" i="16"/>
  <c r="F50" i="16"/>
  <c r="E50" i="16"/>
  <c r="D50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AB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C4" i="16" l="1"/>
  <c r="D4" i="16"/>
  <c r="F13" i="16"/>
  <c r="D28" i="14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E13" i="16"/>
  <c r="D13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C15" i="16"/>
  <c r="C14" i="16"/>
  <c r="C13" i="16"/>
  <c r="C12" i="16"/>
  <c r="C11" i="16"/>
  <c r="C10" i="16"/>
  <c r="C9" i="16"/>
  <c r="C8" i="16"/>
  <c r="C7" i="16"/>
  <c r="C6" i="16"/>
  <c r="Q98" i="16"/>
  <c r="Q99" i="16"/>
  <c r="Q100" i="16"/>
  <c r="Q101" i="16"/>
  <c r="Q102" i="16"/>
  <c r="Q103" i="16"/>
  <c r="Q104" i="16"/>
  <c r="Q105" i="16"/>
  <c r="AA45" i="16"/>
  <c r="Z45" i="16"/>
  <c r="Y45" i="16"/>
  <c r="X45" i="16"/>
  <c r="W45" i="16"/>
  <c r="V45" i="16"/>
  <c r="U45" i="16"/>
  <c r="T45" i="16"/>
  <c r="AA44" i="16"/>
  <c r="Z44" i="16"/>
  <c r="Y44" i="16"/>
  <c r="X44" i="16"/>
  <c r="W44" i="16"/>
  <c r="V44" i="16"/>
  <c r="U44" i="16"/>
  <c r="T44" i="16"/>
  <c r="AA43" i="16"/>
  <c r="Z43" i="16"/>
  <c r="Y43" i="16"/>
  <c r="X43" i="16"/>
  <c r="W43" i="16"/>
  <c r="V43" i="16"/>
  <c r="U43" i="16"/>
  <c r="T43" i="16"/>
  <c r="AA42" i="16"/>
  <c r="Z42" i="16"/>
  <c r="Y42" i="16"/>
  <c r="X42" i="16"/>
  <c r="W42" i="16"/>
  <c r="V42" i="16"/>
  <c r="U42" i="16"/>
  <c r="T42" i="16"/>
  <c r="AA41" i="16"/>
  <c r="Z41" i="16"/>
  <c r="Y41" i="16"/>
  <c r="X41" i="16"/>
  <c r="W41" i="16"/>
  <c r="V41" i="16"/>
  <c r="U41" i="16"/>
  <c r="T41" i="16"/>
  <c r="AA40" i="16"/>
  <c r="Z40" i="16"/>
  <c r="Y40" i="16"/>
  <c r="X40" i="16"/>
  <c r="W40" i="16"/>
  <c r="V40" i="16"/>
  <c r="U40" i="16"/>
  <c r="T40" i="16"/>
  <c r="AA39" i="16"/>
  <c r="Z39" i="16"/>
  <c r="Y39" i="16"/>
  <c r="X39" i="16"/>
  <c r="W39" i="16"/>
  <c r="V39" i="16"/>
  <c r="U39" i="16"/>
  <c r="T39" i="16"/>
  <c r="AA38" i="16"/>
  <c r="Z38" i="16"/>
  <c r="Y38" i="16"/>
  <c r="X38" i="16"/>
  <c r="W38" i="16"/>
  <c r="V38" i="16"/>
  <c r="U38" i="16"/>
  <c r="T38" i="16"/>
  <c r="AA37" i="16"/>
  <c r="Z37" i="16"/>
  <c r="Y37" i="16"/>
  <c r="X37" i="16"/>
  <c r="W37" i="16"/>
  <c r="V37" i="16"/>
  <c r="U37" i="16"/>
  <c r="T37" i="16"/>
  <c r="AA36" i="16"/>
  <c r="Z36" i="16"/>
  <c r="Y36" i="16"/>
  <c r="X36" i="16"/>
  <c r="W36" i="16"/>
  <c r="V36" i="16"/>
  <c r="U36" i="16"/>
  <c r="T36" i="16"/>
  <c r="AA34" i="16"/>
  <c r="Z34" i="16"/>
  <c r="Y34" i="16"/>
  <c r="X34" i="16"/>
  <c r="W34" i="16"/>
  <c r="V34" i="16"/>
  <c r="U34" i="16"/>
  <c r="T34" i="16"/>
  <c r="AA60" i="16"/>
  <c r="Z60" i="16"/>
  <c r="Y60" i="16"/>
  <c r="X60" i="16"/>
  <c r="W60" i="16"/>
  <c r="V60" i="16"/>
  <c r="U60" i="16"/>
  <c r="T60" i="16"/>
  <c r="AA59" i="16"/>
  <c r="Z59" i="16"/>
  <c r="Y59" i="16"/>
  <c r="X59" i="16"/>
  <c r="W59" i="16"/>
  <c r="V59" i="16"/>
  <c r="U59" i="16"/>
  <c r="T59" i="16"/>
  <c r="AA58" i="16"/>
  <c r="Z58" i="16"/>
  <c r="Y58" i="16"/>
  <c r="X58" i="16"/>
  <c r="W58" i="16"/>
  <c r="V58" i="16"/>
  <c r="U58" i="16"/>
  <c r="T58" i="16"/>
  <c r="AA57" i="16"/>
  <c r="Z57" i="16"/>
  <c r="Y57" i="16"/>
  <c r="X57" i="16"/>
  <c r="W57" i="16"/>
  <c r="V57" i="16"/>
  <c r="U57" i="16"/>
  <c r="T57" i="16"/>
  <c r="AA56" i="16"/>
  <c r="Z56" i="16"/>
  <c r="Y56" i="16"/>
  <c r="X56" i="16"/>
  <c r="W56" i="16"/>
  <c r="V56" i="16"/>
  <c r="U56" i="16"/>
  <c r="T56" i="16"/>
  <c r="AA55" i="16"/>
  <c r="Z55" i="16"/>
  <c r="Y55" i="16"/>
  <c r="X55" i="16"/>
  <c r="W55" i="16"/>
  <c r="V55" i="16"/>
  <c r="U55" i="16"/>
  <c r="T55" i="16"/>
  <c r="AA54" i="16"/>
  <c r="Z54" i="16"/>
  <c r="Y54" i="16"/>
  <c r="X54" i="16"/>
  <c r="W54" i="16"/>
  <c r="V54" i="16"/>
  <c r="U54" i="16"/>
  <c r="T54" i="16"/>
  <c r="AA53" i="16"/>
  <c r="Z53" i="16"/>
  <c r="Y53" i="16"/>
  <c r="X53" i="16"/>
  <c r="W53" i="16"/>
  <c r="V53" i="16"/>
  <c r="U53" i="16"/>
  <c r="T53" i="16"/>
  <c r="AA52" i="16"/>
  <c r="Z52" i="16"/>
  <c r="Y52" i="16"/>
  <c r="X52" i="16"/>
  <c r="W52" i="16"/>
  <c r="V52" i="16"/>
  <c r="U52" i="16"/>
  <c r="T52" i="16"/>
  <c r="AA51" i="16"/>
  <c r="Z51" i="16"/>
  <c r="Y51" i="16"/>
  <c r="X51" i="16"/>
  <c r="W51" i="16"/>
  <c r="V51" i="16"/>
  <c r="U51" i="16"/>
  <c r="T51" i="16"/>
  <c r="AA49" i="16"/>
  <c r="Z49" i="16"/>
  <c r="Y49" i="16"/>
  <c r="X49" i="16"/>
  <c r="W49" i="16"/>
  <c r="V49" i="16"/>
  <c r="U49" i="16"/>
  <c r="T49" i="16"/>
  <c r="AA75" i="16"/>
  <c r="Z75" i="16"/>
  <c r="Y75" i="16"/>
  <c r="X75" i="16"/>
  <c r="W75" i="16"/>
  <c r="V75" i="16"/>
  <c r="U75" i="16"/>
  <c r="T75" i="16"/>
  <c r="AA74" i="16"/>
  <c r="Z74" i="16"/>
  <c r="Y74" i="16"/>
  <c r="X74" i="16"/>
  <c r="W74" i="16"/>
  <c r="V74" i="16"/>
  <c r="U74" i="16"/>
  <c r="T74" i="16"/>
  <c r="AA73" i="16"/>
  <c r="Z73" i="16"/>
  <c r="Y73" i="16"/>
  <c r="X73" i="16"/>
  <c r="W73" i="16"/>
  <c r="V73" i="16"/>
  <c r="U73" i="16"/>
  <c r="T73" i="16"/>
  <c r="AA72" i="16"/>
  <c r="Z72" i="16"/>
  <c r="Y72" i="16"/>
  <c r="X72" i="16"/>
  <c r="W72" i="16"/>
  <c r="V72" i="16"/>
  <c r="U72" i="16"/>
  <c r="T72" i="16"/>
  <c r="AA71" i="16"/>
  <c r="Z71" i="16"/>
  <c r="Y71" i="16"/>
  <c r="X71" i="16"/>
  <c r="W71" i="16"/>
  <c r="V71" i="16"/>
  <c r="U71" i="16"/>
  <c r="T71" i="16"/>
  <c r="AA70" i="16"/>
  <c r="Z70" i="16"/>
  <c r="Y70" i="16"/>
  <c r="X70" i="16"/>
  <c r="W70" i="16"/>
  <c r="V70" i="16"/>
  <c r="U70" i="16"/>
  <c r="T70" i="16"/>
  <c r="AA69" i="16"/>
  <c r="Z69" i="16"/>
  <c r="Y69" i="16"/>
  <c r="X69" i="16"/>
  <c r="W69" i="16"/>
  <c r="V69" i="16"/>
  <c r="U69" i="16"/>
  <c r="T69" i="16"/>
  <c r="AA68" i="16"/>
  <c r="Z68" i="16"/>
  <c r="Y68" i="16"/>
  <c r="X68" i="16"/>
  <c r="W68" i="16"/>
  <c r="V68" i="16"/>
  <c r="U68" i="16"/>
  <c r="T68" i="16"/>
  <c r="AA67" i="16"/>
  <c r="Z67" i="16"/>
  <c r="Y67" i="16"/>
  <c r="X67" i="16"/>
  <c r="W67" i="16"/>
  <c r="V67" i="16"/>
  <c r="U67" i="16"/>
  <c r="T67" i="16"/>
  <c r="AA66" i="16"/>
  <c r="Z66" i="16"/>
  <c r="Y66" i="16"/>
  <c r="X66" i="16"/>
  <c r="W66" i="16"/>
  <c r="V66" i="16"/>
  <c r="U66" i="16"/>
  <c r="T66" i="16"/>
  <c r="AA64" i="16"/>
  <c r="Z64" i="16"/>
  <c r="Y64" i="16"/>
  <c r="X64" i="16"/>
  <c r="W64" i="16"/>
  <c r="V64" i="16"/>
  <c r="U64" i="16"/>
  <c r="T64" i="16"/>
  <c r="AA90" i="16"/>
  <c r="Z90" i="16"/>
  <c r="Y90" i="16"/>
  <c r="X90" i="16"/>
  <c r="W90" i="16"/>
  <c r="V90" i="16"/>
  <c r="U90" i="16"/>
  <c r="T90" i="16"/>
  <c r="AA89" i="16"/>
  <c r="Z89" i="16"/>
  <c r="Y89" i="16"/>
  <c r="X89" i="16"/>
  <c r="W89" i="16"/>
  <c r="V89" i="16"/>
  <c r="U89" i="16"/>
  <c r="T89" i="16"/>
  <c r="AA88" i="16"/>
  <c r="Z88" i="16"/>
  <c r="Y88" i="16"/>
  <c r="X88" i="16"/>
  <c r="W88" i="16"/>
  <c r="V88" i="16"/>
  <c r="U88" i="16"/>
  <c r="T88" i="16"/>
  <c r="AA87" i="16"/>
  <c r="Z87" i="16"/>
  <c r="Y87" i="16"/>
  <c r="X87" i="16"/>
  <c r="W87" i="16"/>
  <c r="V87" i="16"/>
  <c r="U87" i="16"/>
  <c r="T87" i="16"/>
  <c r="AA86" i="16"/>
  <c r="Z86" i="16"/>
  <c r="Y86" i="16"/>
  <c r="X86" i="16"/>
  <c r="W86" i="16"/>
  <c r="V86" i="16"/>
  <c r="U86" i="16"/>
  <c r="T86" i="16"/>
  <c r="AA85" i="16"/>
  <c r="Z85" i="16"/>
  <c r="Y85" i="16"/>
  <c r="X85" i="16"/>
  <c r="W85" i="16"/>
  <c r="V85" i="16"/>
  <c r="U85" i="16"/>
  <c r="T85" i="16"/>
  <c r="AA84" i="16"/>
  <c r="Z84" i="16"/>
  <c r="Y84" i="16"/>
  <c r="X84" i="16"/>
  <c r="W84" i="16"/>
  <c r="V84" i="16"/>
  <c r="U84" i="16"/>
  <c r="T84" i="16"/>
  <c r="AA83" i="16"/>
  <c r="Z83" i="16"/>
  <c r="Y83" i="16"/>
  <c r="X83" i="16"/>
  <c r="W83" i="16"/>
  <c r="V83" i="16"/>
  <c r="U83" i="16"/>
  <c r="T83" i="16"/>
  <c r="AA82" i="16"/>
  <c r="Z82" i="16"/>
  <c r="Y82" i="16"/>
  <c r="X82" i="16"/>
  <c r="W82" i="16"/>
  <c r="V82" i="16"/>
  <c r="U82" i="16"/>
  <c r="T82" i="16"/>
  <c r="AA81" i="16"/>
  <c r="Z81" i="16"/>
  <c r="Y81" i="16"/>
  <c r="X81" i="16"/>
  <c r="W81" i="16"/>
  <c r="V81" i="16"/>
  <c r="U81" i="16"/>
  <c r="T81" i="16"/>
  <c r="AA79" i="16"/>
  <c r="Z79" i="16"/>
  <c r="Y79" i="16"/>
  <c r="X79" i="16"/>
  <c r="W79" i="16"/>
  <c r="V79" i="16"/>
  <c r="U79" i="16"/>
  <c r="T79" i="16"/>
  <c r="AA105" i="16"/>
  <c r="Z105" i="16"/>
  <c r="Y105" i="16"/>
  <c r="X105" i="16"/>
  <c r="W105" i="16"/>
  <c r="V105" i="16"/>
  <c r="U105" i="16"/>
  <c r="T105" i="16"/>
  <c r="AA104" i="16"/>
  <c r="Z104" i="16"/>
  <c r="Y104" i="16"/>
  <c r="X104" i="16"/>
  <c r="W104" i="16"/>
  <c r="V104" i="16"/>
  <c r="U104" i="16"/>
  <c r="T104" i="16"/>
  <c r="AA103" i="16"/>
  <c r="Z103" i="16"/>
  <c r="Y103" i="16"/>
  <c r="X103" i="16"/>
  <c r="W103" i="16"/>
  <c r="V103" i="16"/>
  <c r="U103" i="16"/>
  <c r="T103" i="16"/>
  <c r="AA102" i="16"/>
  <c r="Z102" i="16"/>
  <c r="Y102" i="16"/>
  <c r="X102" i="16"/>
  <c r="W102" i="16"/>
  <c r="V102" i="16"/>
  <c r="U102" i="16"/>
  <c r="T102" i="16"/>
  <c r="AA101" i="16"/>
  <c r="Z101" i="16"/>
  <c r="Y101" i="16"/>
  <c r="X101" i="16"/>
  <c r="W101" i="16"/>
  <c r="V101" i="16"/>
  <c r="U101" i="16"/>
  <c r="T101" i="16"/>
  <c r="AA100" i="16"/>
  <c r="Z100" i="16"/>
  <c r="Y100" i="16"/>
  <c r="X100" i="16"/>
  <c r="W100" i="16"/>
  <c r="V100" i="16"/>
  <c r="U100" i="16"/>
  <c r="T100" i="16"/>
  <c r="AA99" i="16"/>
  <c r="Z99" i="16"/>
  <c r="Y99" i="16"/>
  <c r="X99" i="16"/>
  <c r="W99" i="16"/>
  <c r="V99" i="16"/>
  <c r="U99" i="16"/>
  <c r="T99" i="16"/>
  <c r="AA98" i="16"/>
  <c r="Z98" i="16"/>
  <c r="Y98" i="16"/>
  <c r="X98" i="16"/>
  <c r="W98" i="16"/>
  <c r="V98" i="16"/>
  <c r="U98" i="16"/>
  <c r="T98" i="16"/>
  <c r="AA97" i="16"/>
  <c r="Z97" i="16"/>
  <c r="Y97" i="16"/>
  <c r="X97" i="16"/>
  <c r="W97" i="16"/>
  <c r="V97" i="16"/>
  <c r="U97" i="16"/>
  <c r="T97" i="16"/>
  <c r="AA96" i="16"/>
  <c r="Z96" i="16"/>
  <c r="Y96" i="16"/>
  <c r="X96" i="16"/>
  <c r="W96" i="16"/>
  <c r="V96" i="16"/>
  <c r="U96" i="16"/>
  <c r="T96" i="16"/>
  <c r="AA94" i="16"/>
  <c r="Z94" i="16"/>
  <c r="Y94" i="16"/>
  <c r="X94" i="16"/>
  <c r="W94" i="16"/>
  <c r="V94" i="16"/>
  <c r="U94" i="16"/>
  <c r="T94" i="16"/>
  <c r="AB30" i="16"/>
  <c r="Z30" i="16"/>
  <c r="Y30" i="16"/>
  <c r="X30" i="16"/>
  <c r="W30" i="16"/>
  <c r="V30" i="16"/>
  <c r="U30" i="16"/>
  <c r="T30" i="16"/>
  <c r="AB29" i="16"/>
  <c r="Z29" i="16"/>
  <c r="Y29" i="16"/>
  <c r="X29" i="16"/>
  <c r="W29" i="16"/>
  <c r="V29" i="16"/>
  <c r="U29" i="16"/>
  <c r="T29" i="16"/>
  <c r="AB28" i="16"/>
  <c r="Z28" i="16"/>
  <c r="Y28" i="16"/>
  <c r="X28" i="16"/>
  <c r="W28" i="16"/>
  <c r="V28" i="16"/>
  <c r="U28" i="16"/>
  <c r="T28" i="16"/>
  <c r="AB27" i="16"/>
  <c r="Z27" i="16"/>
  <c r="Y27" i="16"/>
  <c r="X27" i="16"/>
  <c r="W27" i="16"/>
  <c r="V27" i="16"/>
  <c r="U27" i="16"/>
  <c r="T27" i="16"/>
  <c r="AB26" i="16"/>
  <c r="Z26" i="16"/>
  <c r="Y26" i="16"/>
  <c r="X26" i="16"/>
  <c r="W26" i="16"/>
  <c r="V26" i="16"/>
  <c r="U26" i="16"/>
  <c r="T26" i="16"/>
  <c r="AB25" i="16"/>
  <c r="Z25" i="16"/>
  <c r="Y25" i="16"/>
  <c r="X25" i="16"/>
  <c r="W25" i="16"/>
  <c r="V25" i="16"/>
  <c r="U25" i="16"/>
  <c r="T25" i="16"/>
  <c r="AB24" i="16"/>
  <c r="Z24" i="16"/>
  <c r="Y24" i="16"/>
  <c r="X24" i="16"/>
  <c r="W24" i="16"/>
  <c r="V24" i="16"/>
  <c r="U24" i="16"/>
  <c r="T24" i="16"/>
  <c r="AB23" i="16"/>
  <c r="Z23" i="16"/>
  <c r="Y23" i="16"/>
  <c r="X23" i="16"/>
  <c r="W23" i="16"/>
  <c r="V23" i="16"/>
  <c r="U23" i="16"/>
  <c r="T23" i="16"/>
  <c r="AB22" i="16"/>
  <c r="Z22" i="16"/>
  <c r="Y22" i="16"/>
  <c r="X22" i="16"/>
  <c r="W22" i="16"/>
  <c r="V22" i="16"/>
  <c r="U22" i="16"/>
  <c r="T22" i="16"/>
  <c r="AB21" i="16"/>
  <c r="Z21" i="16"/>
  <c r="Y21" i="16"/>
  <c r="X21" i="16"/>
  <c r="W21" i="16"/>
  <c r="V21" i="16"/>
  <c r="U21" i="16"/>
  <c r="T21" i="16"/>
  <c r="AB19" i="16"/>
  <c r="Z19" i="16"/>
  <c r="Y19" i="16"/>
  <c r="X19" i="16"/>
  <c r="W19" i="16"/>
  <c r="V19" i="16"/>
  <c r="U19" i="16"/>
  <c r="T19" i="16"/>
  <c r="S105" i="16"/>
  <c r="R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S104" i="16"/>
  <c r="R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S103" i="16"/>
  <c r="R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S102" i="16"/>
  <c r="R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S101" i="16"/>
  <c r="R101" i="16"/>
  <c r="P101" i="16"/>
  <c r="O101" i="16"/>
  <c r="N101" i="16"/>
  <c r="M101" i="16"/>
  <c r="L101" i="16"/>
  <c r="K101" i="16"/>
  <c r="J101" i="16"/>
  <c r="I101" i="16"/>
  <c r="H101" i="16"/>
  <c r="G101" i="16"/>
  <c r="F101" i="16"/>
  <c r="E101" i="16"/>
  <c r="D101" i="16"/>
  <c r="S100" i="16"/>
  <c r="R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S99" i="16"/>
  <c r="R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S98" i="16"/>
  <c r="R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105" i="16"/>
  <c r="C104" i="16"/>
  <c r="C103" i="16"/>
  <c r="C102" i="16"/>
  <c r="C101" i="16"/>
  <c r="C100" i="16"/>
  <c r="C99" i="16"/>
  <c r="C98" i="16"/>
  <c r="C97" i="16"/>
  <c r="C96" i="16"/>
  <c r="C94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E81" i="16"/>
  <c r="D81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90" i="16"/>
  <c r="C89" i="16"/>
  <c r="C88" i="16"/>
  <c r="C87" i="16"/>
  <c r="C86" i="16"/>
  <c r="C85" i="16"/>
  <c r="C84" i="16"/>
  <c r="C83" i="16"/>
  <c r="C82" i="16"/>
  <c r="C81" i="16"/>
  <c r="C79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S69" i="16"/>
  <c r="R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S64" i="16"/>
  <c r="R64" i="16"/>
  <c r="Q64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C75" i="16"/>
  <c r="C74" i="16"/>
  <c r="C73" i="16"/>
  <c r="C72" i="16"/>
  <c r="C71" i="16"/>
  <c r="C70" i="16"/>
  <c r="C69" i="16"/>
  <c r="C68" i="16"/>
  <c r="C67" i="16"/>
  <c r="C66" i="16"/>
  <c r="C64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60" i="16"/>
  <c r="C59" i="16"/>
  <c r="C58" i="16"/>
  <c r="C57" i="16"/>
  <c r="C56" i="16"/>
  <c r="C55" i="16"/>
  <c r="C54" i="16"/>
  <c r="C53" i="16"/>
  <c r="C52" i="16"/>
  <c r="C51" i="16"/>
  <c r="C49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45" i="16"/>
  <c r="C44" i="16"/>
  <c r="C43" i="16"/>
  <c r="C42" i="16"/>
  <c r="C41" i="16"/>
  <c r="C40" i="16"/>
  <c r="C39" i="16"/>
  <c r="C38" i="16"/>
  <c r="C37" i="16"/>
  <c r="C36" i="16"/>
  <c r="C34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30" i="16"/>
  <c r="C29" i="16"/>
  <c r="C28" i="16"/>
  <c r="C27" i="16"/>
  <c r="C26" i="16"/>
  <c r="C25" i="16"/>
  <c r="C24" i="16"/>
  <c r="C23" i="16"/>
  <c r="C22" i="16"/>
  <c r="C21" i="16"/>
  <c r="C19" i="16"/>
  <c r="D29" i="14"/>
  <c r="D34" i="14"/>
  <c r="D33" i="14"/>
  <c r="D32" i="14"/>
  <c r="D31" i="14"/>
  <c r="D30" i="14"/>
  <c r="I44" i="4" l="1"/>
  <c r="G3" i="13"/>
  <c r="F4" i="12"/>
  <c r="B111" i="4"/>
  <c r="I4" i="11"/>
  <c r="I3" i="11"/>
  <c r="L4" i="12"/>
  <c r="N4" i="12" s="1"/>
  <c r="M4" i="12" l="1"/>
  <c r="O4" i="12"/>
  <c r="L34" i="7"/>
  <c r="L35" i="7" s="1"/>
  <c r="I5" i="11"/>
  <c r="G4" i="13"/>
  <c r="G5" i="13" s="1"/>
  <c r="B58" i="6"/>
  <c r="B59" i="6" s="1"/>
  <c r="F5" i="12"/>
  <c r="F6" i="12" s="1"/>
  <c r="B57" i="6"/>
  <c r="N25" i="4"/>
  <c r="N26" i="4" s="1"/>
  <c r="N24" i="4"/>
  <c r="I40" i="4" l="1"/>
  <c r="I39" i="4"/>
  <c r="I38" i="4"/>
  <c r="I28" i="4"/>
  <c r="I26" i="4"/>
  <c r="G27" i="4"/>
  <c r="G28" i="4"/>
  <c r="J27" i="4" l="1"/>
  <c r="J28" i="4"/>
  <c r="G11" i="7"/>
  <c r="L15" i="6" l="1"/>
  <c r="C4" i="6"/>
  <c r="D4" i="6"/>
  <c r="E4" i="6"/>
  <c r="F4" i="6"/>
  <c r="G4" i="6"/>
  <c r="J7" i="6"/>
  <c r="K7" i="6"/>
  <c r="L7" i="6"/>
  <c r="M7" i="6"/>
  <c r="N7" i="6"/>
  <c r="J8" i="6"/>
  <c r="K8" i="6"/>
  <c r="L8" i="6"/>
  <c r="M8" i="6"/>
  <c r="N8" i="6"/>
  <c r="J9" i="6"/>
  <c r="K9" i="6"/>
  <c r="L9" i="6"/>
  <c r="M9" i="6"/>
  <c r="N9" i="6"/>
  <c r="J10" i="6"/>
  <c r="K10" i="6"/>
  <c r="L10" i="6"/>
  <c r="M10" i="6"/>
  <c r="N10" i="6"/>
  <c r="J12" i="6"/>
  <c r="K12" i="6"/>
  <c r="L12" i="6"/>
  <c r="M12" i="6"/>
  <c r="N12" i="6"/>
  <c r="J13" i="6"/>
  <c r="K13" i="6"/>
  <c r="L13" i="6"/>
  <c r="M13" i="6"/>
  <c r="N13" i="6"/>
  <c r="J14" i="6"/>
  <c r="K14" i="6"/>
  <c r="L14" i="6"/>
  <c r="M14" i="6"/>
  <c r="N14" i="6"/>
  <c r="J15" i="6"/>
  <c r="K15" i="6"/>
  <c r="M15" i="6"/>
  <c r="N15" i="6"/>
  <c r="J17" i="6"/>
  <c r="K17" i="6"/>
  <c r="L17" i="6"/>
  <c r="M17" i="6"/>
  <c r="N17" i="6"/>
  <c r="J18" i="6"/>
  <c r="K18" i="6"/>
  <c r="L18" i="6"/>
  <c r="M18" i="6"/>
  <c r="N18" i="6"/>
  <c r="B22" i="6"/>
  <c r="C23" i="6"/>
  <c r="D23" i="6"/>
  <c r="E23" i="6"/>
  <c r="F23" i="6"/>
  <c r="G23" i="6"/>
  <c r="C24" i="6"/>
  <c r="C25" i="6" s="1"/>
  <c r="D24" i="6"/>
  <c r="D25" i="6" s="1"/>
  <c r="E24" i="6"/>
  <c r="E25" i="6" s="1"/>
  <c r="E26" i="6" s="1"/>
  <c r="F24" i="6"/>
  <c r="G24" i="6"/>
  <c r="B28" i="6"/>
  <c r="C29" i="6"/>
  <c r="C30" i="6" s="1"/>
  <c r="D29" i="6"/>
  <c r="E29" i="6"/>
  <c r="E30" i="6" s="1"/>
  <c r="E31" i="6" s="1"/>
  <c r="F29" i="6"/>
  <c r="F30" i="6" s="1"/>
  <c r="G29" i="6"/>
  <c r="G30" i="6" s="1"/>
  <c r="B33" i="6"/>
  <c r="C34" i="6"/>
  <c r="C35" i="6" s="1"/>
  <c r="D34" i="6"/>
  <c r="D35" i="6" s="1"/>
  <c r="E34" i="6"/>
  <c r="E35" i="6" s="1"/>
  <c r="E36" i="6" s="1"/>
  <c r="F34" i="6"/>
  <c r="G34" i="6"/>
  <c r="B38" i="6"/>
  <c r="C39" i="6"/>
  <c r="C40" i="6" s="1"/>
  <c r="D39" i="6"/>
  <c r="E39" i="6"/>
  <c r="E40" i="6" s="1"/>
  <c r="E41" i="6" s="1"/>
  <c r="F39" i="6"/>
  <c r="G39" i="6"/>
  <c r="F40" i="6"/>
  <c r="B43" i="6"/>
  <c r="C44" i="6"/>
  <c r="C45" i="6" s="1"/>
  <c r="D44" i="6"/>
  <c r="D45" i="6" s="1"/>
  <c r="E44" i="6"/>
  <c r="E45" i="6" s="1"/>
  <c r="E46" i="6" s="1"/>
  <c r="F44" i="6"/>
  <c r="G44" i="6"/>
  <c r="B48" i="6"/>
  <c r="C49" i="6"/>
  <c r="C50" i="6" s="1"/>
  <c r="D49" i="6"/>
  <c r="E49" i="6"/>
  <c r="E50" i="6" s="1"/>
  <c r="E51" i="6" s="1"/>
  <c r="F49" i="6"/>
  <c r="F50" i="6" s="1"/>
  <c r="G49" i="6"/>
  <c r="G50" i="6" s="1"/>
  <c r="G35" i="6" l="1"/>
  <c r="G40" i="6"/>
  <c r="G45" i="6"/>
  <c r="F35" i="6"/>
  <c r="F45" i="6"/>
  <c r="G25" i="6"/>
  <c r="D40" i="6"/>
  <c r="F25" i="6"/>
  <c r="D50" i="6"/>
  <c r="D30" i="6"/>
  <c r="I36" i="4" l="1"/>
  <c r="I37" i="4"/>
  <c r="I35" i="4"/>
  <c r="J26" i="4"/>
  <c r="I24" i="4"/>
  <c r="I25" i="4"/>
  <c r="I23" i="4"/>
  <c r="G24" i="4"/>
  <c r="G25" i="4"/>
  <c r="G26" i="4"/>
  <c r="G23" i="4"/>
  <c r="J24" i="4" l="1"/>
  <c r="J25" i="4"/>
  <c r="J2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Amy Lai</author>
  </authors>
  <commentList>
    <comment ref="L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Amy Lai:</t>
        </r>
        <r>
          <rPr>
            <sz val="9"/>
            <color indexed="81"/>
            <rFont val="Tahoma"/>
            <family val="2"/>
          </rPr>
          <t xml:space="preserve">
This is the difference between 2_6 and 6_2.
Need to be careful - I can't see a massive reason as to why NC6_2 should be so much higher E than NC2_6 - perhaps the geometry didn't converge / minimise well enough. </t>
        </r>
      </text>
    </comment>
    <comment ref="H36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Amy Lai:</t>
        </r>
        <r>
          <rPr>
            <sz val="9"/>
            <color indexed="81"/>
            <rFont val="Tahoma"/>
            <family val="2"/>
          </rPr>
          <t xml:space="preserve">
NC0_2-6 turned out to be more stable than NC2-6_0
This is due to some hydrogen bonding 
that we didn't see in the latter, though it should also be possible, and may just be as a result of my intial starting geoetry.
Or perhaps it is only allowed by the distortion of the rings in that isomer (adn also the NC0_3-6)
Well, we’re going with it for now. 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vl5_solv_Total_Energies (2)" description="Connection to the 'lvl5_solv_Total_Energies (2)' query in the workbook." type="5" refreshedVersion="6" background="1" saveData="1">
    <dbPr connection="Provider=Microsoft.Mashup.OleDb.1;Data Source=$Workbook$;Location=lvl5_solv_Total_Energies (2);Extended Properties=&quot;&quot;" command="SELECT * FROM [lvl5_solv_Total_Energies (2)]"/>
  </connection>
  <connection id="2" xr16:uid="{00000000-0015-0000-FFFF-FFFF01000000}" keepAlive="1" name="Query - lvl5_Total_Energies" description="Connection to the 'lvl5_Total_Energies' query in the workbook." type="5" refreshedVersion="0" background="1">
    <dbPr connection="Provider=Microsoft.Mashup.OleDb.1;Data Source=$Workbook$;Location=lvl5_Total_Energies;Extended Properties=&quot;&quot;" command="SELECT * FROM [lvl5_Total_Energies]"/>
  </connection>
  <connection id="3" xr16:uid="{00000000-0015-0000-FFFF-FFFF02000000}" keepAlive="1" name="Query - lvl5_Total_Energies (2)" description="Connection to the 'lvl5_Total_Energies (2)' query in the workbook." type="5" refreshedVersion="6" background="1" saveData="1">
    <dbPr connection="Provider=Microsoft.Mashup.OleDb.1;Data Source=$Workbook$;Location=lvl5_Total_Energies (2);Extended Properties=&quot;&quot;" command="SELECT * FROM [lvl5_Total_Energies (2)]"/>
  </connection>
  <connection id="4" xr16:uid="{00000000-0015-0000-FFFF-FFFF03000000}" keepAlive="1" name="Query - Total_Energies_63_63-route" description="Connection to the 'Total_Energies_63_63-route' query in the workbook." type="5" refreshedVersion="6" background="1" saveData="1">
    <dbPr connection="Provider=Microsoft.Mashup.OleDb.1;Data Source=$Workbook$;Location=Total_Energies_63_63-route;Extended Properties=&quot;&quot;" command="SELECT * FROM [Total_Energies_63_63-route]"/>
  </connection>
  <connection id="5" xr16:uid="{00000000-0015-0000-FFFF-FFFF04000000}" keepAlive="1" name="Query - Total_Energies_NC3_3-hi" description="Connection to the 'Total_Energies_NC3_3-hi' query in the workbook." type="5" refreshedVersion="6" background="1" saveData="1">
    <dbPr connection="Provider=Microsoft.Mashup.OleDb.1;Data Source=$Workbook$;Location=Total_Energies_NC3_3-hi;Extended Properties=&quot;&quot;" command="SELECT * FROM [Total_Energies_NC3_3-hi]"/>
  </connection>
</connections>
</file>

<file path=xl/sharedStrings.xml><?xml version="1.0" encoding="utf-8"?>
<sst xmlns="http://schemas.openxmlformats.org/spreadsheetml/2006/main" count="1311" uniqueCount="601">
  <si>
    <t>Dimer</t>
  </si>
  <si>
    <t>Free Energies</t>
  </si>
  <si>
    <t>Taking into account the reactants and prods:</t>
  </si>
  <si>
    <t>Irrelevant?</t>
  </si>
  <si>
    <t xml:space="preserve"> Autoignition is at 170C</t>
  </si>
  <si>
    <t>C</t>
  </si>
  <si>
    <t>Diff temps:</t>
  </si>
  <si>
    <t>K</t>
  </si>
  <si>
    <t>Normalise</t>
  </si>
  <si>
    <t>NC0_0</t>
  </si>
  <si>
    <t>Cellulose</t>
  </si>
  <si>
    <t>NO2+</t>
  </si>
  <si>
    <t>H2O</t>
  </si>
  <si>
    <t>H3O+</t>
  </si>
  <si>
    <t>NC</t>
  </si>
  <si>
    <t>0_2</t>
  </si>
  <si>
    <t>0_3</t>
  </si>
  <si>
    <t>0_6</t>
  </si>
  <si>
    <t>2_0</t>
  </si>
  <si>
    <t>from hi-NC2_0</t>
  </si>
  <si>
    <t>3_0</t>
  </si>
  <si>
    <t>6_0</t>
  </si>
  <si>
    <t>corr</t>
  </si>
  <si>
    <t>from first iter. Gone wrong</t>
  </si>
  <si>
    <t>check this one</t>
  </si>
  <si>
    <t>from trouble_NC6_0</t>
  </si>
  <si>
    <t xml:space="preserve">Nitration at </t>
  </si>
  <si>
    <t>NC0_6 and NO2+ seem to be iffy at 300K</t>
  </si>
  <si>
    <t>&lt;- Copy paste error =_=</t>
  </si>
  <si>
    <t>Reacts</t>
  </si>
  <si>
    <t>Prods</t>
  </si>
  <si>
    <t>Delta G</t>
  </si>
  <si>
    <t>kj/mol</t>
  </si>
  <si>
    <t>finish this off for denitration sequence</t>
  </si>
  <si>
    <t>diff nitration levels, and uneven distr nitration</t>
  </si>
  <si>
    <t>Use this as basis for choice of nitration site for mechc stuff</t>
  </si>
  <si>
    <t xml:space="preserve">Zoom in </t>
  </si>
  <si>
    <t>re-run NC6_0 and NC2_0</t>
  </si>
  <si>
    <t>opt_NC2-3-6_2-3.out</t>
  </si>
  <si>
    <t xml:space="preserve"> SCF Done:  E(RwB97XD) </t>
  </si>
  <si>
    <t xml:space="preserve"> Zero-point correction</t>
  </si>
  <si>
    <t xml:space="preserve"> Thermal correction to Energy</t>
  </si>
  <si>
    <t xml:space="preserve"> Thermal correction to Enthalpy</t>
  </si>
  <si>
    <t xml:space="preserve"> Thermal correction to Gibbs Free Energy</t>
  </si>
  <si>
    <t xml:space="preserve"> Sum of electronic and zero-point Energies</t>
  </si>
  <si>
    <t xml:space="preserve"> Sum of electronic and thermal Energies</t>
  </si>
  <si>
    <t xml:space="preserve"> Sum of electronic and thermal Enthalpies</t>
  </si>
  <si>
    <t xml:space="preserve"> Sum of electronic and thermal Free Energies</t>
  </si>
  <si>
    <t/>
  </si>
  <si>
    <t>opt_NC2-3-6_2-6.out</t>
  </si>
  <si>
    <t>opt_NC2-3_2-3-6.out</t>
  </si>
  <si>
    <t>opt_NC2-6_2-3-6.out</t>
  </si>
  <si>
    <t>xMMopt_NC63_632.out</t>
  </si>
  <si>
    <t>Column1.1</t>
  </si>
  <si>
    <t>Column1.2</t>
  </si>
  <si>
    <t xml:space="preserve">   A.U. after    4 cycles</t>
  </si>
  <si>
    <t>Column1.3</t>
  </si>
  <si>
    <t>(Hartree/Particle)</t>
  </si>
  <si>
    <t xml:space="preserve"> A.U. after    4 cycles</t>
  </si>
  <si>
    <t xml:space="preserve"> (Hartree/Particle)</t>
  </si>
  <si>
    <t>A.U. after    4 cycles</t>
  </si>
  <si>
    <t>Column1</t>
  </si>
  <si>
    <t>Column2</t>
  </si>
  <si>
    <t>Column3</t>
  </si>
  <si>
    <t>Nitration from NC (lvl4)</t>
  </si>
  <si>
    <t>Denitration from NC3_3</t>
  </si>
  <si>
    <t>NC2-3-6_2-3</t>
  </si>
  <si>
    <t>NC2-3-6_2-6</t>
  </si>
  <si>
    <t>NC2-3_2-3-6</t>
  </si>
  <si>
    <t>NC2-6_2-3-6</t>
  </si>
  <si>
    <t>ΔG from QM /298K</t>
  </si>
  <si>
    <t>NC3_3</t>
  </si>
  <si>
    <t>Lvl6 (full)</t>
  </si>
  <si>
    <t>NC3_3-hi.out</t>
  </si>
  <si>
    <t>A.U</t>
  </si>
  <si>
    <t>Most stable from Lvl4</t>
  </si>
  <si>
    <t>(i.e. most neg ΔG of nitration/</t>
  </si>
  <si>
    <t xml:space="preserve"> highest denitration)</t>
  </si>
  <si>
    <t>→</t>
  </si>
  <si>
    <t>Reactants</t>
  </si>
  <si>
    <t>Products</t>
  </si>
  <si>
    <r>
      <t>NC4 + NO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+ H2O</t>
    </r>
  </si>
  <si>
    <r>
      <t>NC5 + H3O</t>
    </r>
    <r>
      <rPr>
        <vertAlign val="superscript"/>
        <sz val="11"/>
        <color theme="1"/>
        <rFont val="Calibri"/>
        <family val="2"/>
      </rPr>
      <t>+</t>
    </r>
  </si>
  <si>
    <r>
      <t>NC5 + NO2</t>
    </r>
    <r>
      <rPr>
        <vertAlign val="superscript"/>
        <sz val="11"/>
        <color theme="1"/>
        <rFont val="Calibri"/>
        <family val="2"/>
      </rPr>
      <t>+</t>
    </r>
    <r>
      <rPr>
        <sz val="11"/>
        <color theme="1"/>
        <rFont val="Calibri"/>
        <family val="2"/>
      </rPr>
      <t xml:space="preserve"> + H2O</t>
    </r>
  </si>
  <si>
    <r>
      <t>NC6 + H3O</t>
    </r>
    <r>
      <rPr>
        <vertAlign val="superscript"/>
        <sz val="11"/>
        <color theme="1"/>
        <rFont val="Calibri"/>
        <family val="2"/>
        <scheme val="minor"/>
      </rPr>
      <t>+</t>
    </r>
  </si>
  <si>
    <t>ΔG Denitration</t>
  </si>
  <si>
    <t>ΔG Nitration</t>
  </si>
  <si>
    <t>i.e Most likely to lose C3 from ring 1, but unfavourable all round</t>
  </si>
  <si>
    <t>With MM opt first</t>
  </si>
  <si>
    <t>Without MM opt</t>
  </si>
  <si>
    <t>NC632_63.out</t>
  </si>
  <si>
    <t xml:space="preserve">  -2398.20497380     A.U. after    5 cycles</t>
  </si>
  <si>
    <t xml:space="preserve">                           0.445633 (Hartree/Particle)</t>
  </si>
  <si>
    <t xml:space="preserve">                    0.483925</t>
  </si>
  <si>
    <t xml:space="preserve">                  0.484869</t>
  </si>
  <si>
    <t xml:space="preserve">         0.367913</t>
  </si>
  <si>
    <t xml:space="preserve">          -2397.759341</t>
  </si>
  <si>
    <t xml:space="preserve">             -2397.721049</t>
  </si>
  <si>
    <t xml:space="preserve">           -2397.720104</t>
  </si>
  <si>
    <t xml:space="preserve">        -2397.837061</t>
  </si>
  <si>
    <t>NC63_632.out</t>
  </si>
  <si>
    <t xml:space="preserve">  -2398.39779238     A.U. after    4 cycles</t>
  </si>
  <si>
    <t xml:space="preserve">                           0.443271 (Hartree/Particle)</t>
  </si>
  <si>
    <t xml:space="preserve">                    0.481436</t>
  </si>
  <si>
    <t xml:space="preserve">                  0.482380</t>
  </si>
  <si>
    <t xml:space="preserve">         0.365625</t>
  </si>
  <si>
    <t xml:space="preserve">          -2397.954521</t>
  </si>
  <si>
    <t xml:space="preserve">             -2397.916357</t>
  </si>
  <si>
    <t xml:space="preserve">           -2397.915412</t>
  </si>
  <si>
    <t xml:space="preserve">        -2398.032168</t>
  </si>
  <si>
    <t xml:space="preserve">    A.U. after    4 cycles</t>
  </si>
  <si>
    <t>Diff in G:</t>
  </si>
  <si>
    <t>Hartree</t>
  </si>
  <si>
    <t>eV</t>
  </si>
  <si>
    <t>kJ/mol</t>
  </si>
  <si>
    <t>kCal/mol</t>
  </si>
  <si>
    <t xml:space="preserve">I think we can disregard this. It is an order smaller than </t>
  </si>
  <si>
    <t xml:space="preserve">errors you can get by using different methods/ </t>
  </si>
  <si>
    <t>Solvent example:</t>
  </si>
  <si>
    <t>3mid-opt_NC2-3-6_2-3.out</t>
  </si>
  <si>
    <t>scaleback-mid_opt_NC2-3_2-3-6.out</t>
  </si>
  <si>
    <t>I guess this says there probs isn't a need to opt with a MM first….</t>
  </si>
  <si>
    <t xml:space="preserve">but I think it might make a bigger difference in other cases </t>
  </si>
  <si>
    <t>So I'm going to do it with all my dimers anyways D':</t>
  </si>
  <si>
    <t>Note: also required it to be converted to Pdb and opt'd using a z-matrix, whereas no MM opt was just drawn up in Gview and whacked in as cartesian.</t>
  </si>
  <si>
    <t>(so it actually went through quite a few other operations)</t>
  </si>
  <si>
    <t>Vacuum</t>
  </si>
  <si>
    <t>&gt; carry on with lvl4 NC2-6_2-3-6</t>
  </si>
  <si>
    <t xml:space="preserve"> </t>
  </si>
  <si>
    <t>#note: no pre-opt with MM</t>
  </si>
  <si>
    <t>NC632_63</t>
  </si>
  <si>
    <t>NC63_632</t>
  </si>
  <si>
    <t>NC2-3-6_3-6</t>
  </si>
  <si>
    <t>NC3-6_2-3-6</t>
  </si>
  <si>
    <t>*suspiciously high</t>
  </si>
  <si>
    <t>Lvl5 makes a case for why we need MM opt in advance  - the initial value for NC632_63 was too high cos an accidental o-o bond formed between adjacent nitrate groups</t>
  </si>
  <si>
    <t>This would not have happened with a pre-MM opt</t>
  </si>
  <si>
    <t>*actually no, the hi one just didn't get done</t>
  </si>
  <si>
    <t>Column4</t>
  </si>
  <si>
    <t>*actually no, the hi one just didn't get done. In the pipeline now</t>
  </si>
  <si>
    <t>cont_opt_NC6_2.out</t>
  </si>
  <si>
    <t>opt_NC2-3_0.out</t>
  </si>
  <si>
    <t>opt_NC2-6_0.out</t>
  </si>
  <si>
    <t>opt_NC3-6_0.out</t>
  </si>
  <si>
    <t>opt_NC6_3.out</t>
  </si>
  <si>
    <t>A.U. after    1 cycles</t>
  </si>
  <si>
    <t>#Some are still running</t>
  </si>
  <si>
    <t>#not MM opt</t>
  </si>
  <si>
    <t>#more still running</t>
  </si>
  <si>
    <t>opt_NC2-3_2.out</t>
  </si>
  <si>
    <t>opt_NC2-3-6_0.out</t>
  </si>
  <si>
    <t>opt_NC6_2-3.out</t>
  </si>
  <si>
    <t>#still a few running, not included here</t>
  </si>
  <si>
    <t>more_cont_opt_NC2_2-3-6.out</t>
  </si>
  <si>
    <t>opt_NC2-3-6_6.out</t>
  </si>
  <si>
    <t>opt_NC2-6_2-3.out</t>
  </si>
  <si>
    <t>opt_NC2-6_3-6.out</t>
  </si>
  <si>
    <t>opt_NC3_2-3-6.out</t>
  </si>
  <si>
    <t>opt_NC3-6_2-3.out</t>
  </si>
  <si>
    <t>A.U.</t>
  </si>
  <si>
    <t>after</t>
  </si>
  <si>
    <t>cycles</t>
  </si>
  <si>
    <t>NC63_63.out</t>
  </si>
  <si>
    <t>SCF Done: E(RwB97XD) =</t>
  </si>
  <si>
    <t xml:space="preserve">Zero-point correction= </t>
  </si>
  <si>
    <t>Thermal correction to Energy=</t>
  </si>
  <si>
    <t>Thermal correction to Enthalpy=</t>
  </si>
  <si>
    <t>Thermal correction to Gibbs Free Energy=</t>
  </si>
  <si>
    <t>Sum of electronic and zero-point Energies=</t>
  </si>
  <si>
    <t>Sum of electronic and thermal Energies=</t>
  </si>
  <si>
    <t>Sum of electronic and thermal Enthalpies=</t>
  </si>
  <si>
    <t>Sum of electronic and thermal Free Energies=</t>
  </si>
  <si>
    <t>NC62_63.out</t>
  </si>
  <si>
    <t>from 0_63-route-6_63-Energies</t>
  </si>
  <si>
    <t>NC6_632.out</t>
  </si>
  <si>
    <t>NC62_62.out</t>
  </si>
  <si>
    <t>#from 0_63-route</t>
  </si>
  <si>
    <t>NC0_632.out</t>
  </si>
  <si>
    <t>NC6_63.out</t>
  </si>
  <si>
    <t>NC2_63.out</t>
  </si>
  <si>
    <t>#From 0_62-route</t>
  </si>
  <si>
    <t>NC2_62.out</t>
  </si>
  <si>
    <t>NC3_62.out</t>
  </si>
  <si>
    <t>NC6_62.out</t>
  </si>
  <si>
    <t>#from 6_6route</t>
  </si>
  <si>
    <t>NC62_6.out</t>
  </si>
  <si>
    <t>NC63_6.out</t>
  </si>
  <si>
    <t>Still missing:</t>
  </si>
  <si>
    <t>high level opt</t>
  </si>
  <si>
    <t>No opt</t>
  </si>
  <si>
    <t>2-3,3-6</t>
  </si>
  <si>
    <t>2-3,2-6</t>
  </si>
  <si>
    <t>2-3-6,3</t>
  </si>
  <si>
    <t>3-6,2-6</t>
  </si>
  <si>
    <t>#Still missing</t>
  </si>
  <si>
    <t>2,2-3</t>
  </si>
  <si>
    <t>3,2-3</t>
  </si>
  <si>
    <t>3,3-6</t>
  </si>
  <si>
    <t>2-3,3</t>
  </si>
  <si>
    <t>2-3,6</t>
  </si>
  <si>
    <t>no opt</t>
  </si>
  <si>
    <t>others missign too, but I'm just giving up on those</t>
  </si>
  <si>
    <t>#From 0_6-route</t>
  </si>
  <si>
    <t>NC2_6.out</t>
  </si>
  <si>
    <t>NC3_6.out</t>
  </si>
  <si>
    <t>NC6_6.out</t>
  </si>
  <si>
    <t>Lowest E isomer:</t>
  </si>
  <si>
    <t>NOTE: I've noticed with some duplicated calculations that the difference in Free E obtain with the same calculation (but run at different instances, different clusters etc) can fluctuate, eg:</t>
  </si>
  <si>
    <t>Γ_N</t>
  </si>
  <si>
    <t>ΔE (kJ/mol)</t>
  </si>
  <si>
    <t>TΔS (kJ/mol)</t>
  </si>
  <si>
    <t>Φ (kJ/mol)</t>
  </si>
  <si>
    <t>ln((x*(Γ_N*x)^(Γ_N))/((c-x)*(a-Γ_N*x)^(Γ_N)))</t>
  </si>
  <si>
    <t>Lowest E of each</t>
  </si>
  <si>
    <t>Energy /Hartress - nitration</t>
  </si>
  <si>
    <t>HNO3</t>
  </si>
  <si>
    <t>NC6</t>
  </si>
  <si>
    <t>NC5</t>
  </si>
  <si>
    <t>NC4</t>
  </si>
  <si>
    <t>NC3</t>
  </si>
  <si>
    <t>NC2</t>
  </si>
  <si>
    <t>NC1</t>
  </si>
  <si>
    <t>Is it me, or do the energies consistenly show that C6 is the last one to be left on? And NOT C2? Trouble…</t>
  </si>
  <si>
    <t>range</t>
  </si>
  <si>
    <t>Hartre/per particle</t>
  </si>
  <si>
    <t>Range</t>
  </si>
  <si>
    <t>Excluding  6-2_6-2</t>
  </si>
  <si>
    <t>*a little high*</t>
  </si>
  <si>
    <t>may be because it was drawn from the high energy lvl3 equiv</t>
  </si>
  <si>
    <t>Hartree/particle</t>
  </si>
  <si>
    <t>denitration stability lvl4</t>
  </si>
  <si>
    <t>#from 6_6/6_62-route</t>
  </si>
  <si>
    <t>0_63-route/6_63</t>
  </si>
  <si>
    <t>hartree</t>
  </si>
  <si>
    <t>difference</t>
  </si>
  <si>
    <t>smaller than with if you started with slightly different geometry</t>
  </si>
  <si>
    <t>if there is more flexbility - i.e. with more nitrate groups, and in different positions.</t>
  </si>
  <si>
    <t>deffo messed up</t>
  </si>
  <si>
    <t>NC6_2</t>
  </si>
  <si>
    <t>NC2-3_0</t>
  </si>
  <si>
    <t>NC2-6_0</t>
  </si>
  <si>
    <t>NC3-6_0</t>
  </si>
  <si>
    <t>NC6_3</t>
  </si>
  <si>
    <t>NC2_6</t>
  </si>
  <si>
    <t>NC3_6</t>
  </si>
  <si>
    <t>NC6_6</t>
  </si>
  <si>
    <t>NC2-3_2</t>
  </si>
  <si>
    <t>NC2-3-6_0</t>
  </si>
  <si>
    <t>NC6_2-3</t>
  </si>
  <si>
    <t>NC0_632</t>
  </si>
  <si>
    <t>NC2_63</t>
  </si>
  <si>
    <t>NC6_63</t>
  </si>
  <si>
    <t>NC2_62</t>
  </si>
  <si>
    <t>NC3_62</t>
  </si>
  <si>
    <t>NC6_62</t>
  </si>
  <si>
    <t>NC2_2-3-6</t>
  </si>
  <si>
    <t>NC2-6_2-3</t>
  </si>
  <si>
    <t>NC2-3-6_6</t>
  </si>
  <si>
    <t>NC2-6_3-6</t>
  </si>
  <si>
    <t>NC3_2-3-6</t>
  </si>
  <si>
    <t>NC3-6_2-3</t>
  </si>
  <si>
    <t>Full lists</t>
  </si>
  <si>
    <t>lvl1</t>
  </si>
  <si>
    <t>lvl2</t>
  </si>
  <si>
    <t>lvl4</t>
  </si>
  <si>
    <t>lvl3</t>
  </si>
  <si>
    <t>lvl5</t>
  </si>
  <si>
    <t>lvl6</t>
  </si>
  <si>
    <t>0,2</t>
  </si>
  <si>
    <t>0,3</t>
  </si>
  <si>
    <t>0,6</t>
  </si>
  <si>
    <t>2,0</t>
  </si>
  <si>
    <t>3,0</t>
  </si>
  <si>
    <t>6,0</t>
  </si>
  <si>
    <t>0,2-3</t>
  </si>
  <si>
    <t>0,2-6</t>
  </si>
  <si>
    <t>0,3-6</t>
  </si>
  <si>
    <t>2,2</t>
  </si>
  <si>
    <t>2,3</t>
  </si>
  <si>
    <t>2,6</t>
  </si>
  <si>
    <t>3,2</t>
  </si>
  <si>
    <t>3,3</t>
  </si>
  <si>
    <t>3,6</t>
  </si>
  <si>
    <t>6,2</t>
  </si>
  <si>
    <t>6,3</t>
  </si>
  <si>
    <t>6,6</t>
  </si>
  <si>
    <t>2-3,0</t>
  </si>
  <si>
    <t>2-6,0</t>
  </si>
  <si>
    <t>3-6,0</t>
  </si>
  <si>
    <t>0,2-3-6</t>
  </si>
  <si>
    <t>6,2-3</t>
  </si>
  <si>
    <t>2,2-6</t>
  </si>
  <si>
    <t>3,2-6</t>
  </si>
  <si>
    <t>6,2-6</t>
  </si>
  <si>
    <t>2,3-6</t>
  </si>
  <si>
    <t>6,3-6</t>
  </si>
  <si>
    <t>2-3,2</t>
  </si>
  <si>
    <t>2-6,2</t>
  </si>
  <si>
    <t>3-6,2</t>
  </si>
  <si>
    <t>2-6,3</t>
  </si>
  <si>
    <t>3-6,3</t>
  </si>
  <si>
    <t>2-6,6</t>
  </si>
  <si>
    <t>3-6,6</t>
  </si>
  <si>
    <t>2-3-6,0</t>
  </si>
  <si>
    <t>2,2-3-6</t>
  </si>
  <si>
    <t>3,2-3-6</t>
  </si>
  <si>
    <t>6,2-3-6</t>
  </si>
  <si>
    <t>2-3,2-3</t>
  </si>
  <si>
    <t>2-6,2-3</t>
  </si>
  <si>
    <t>3-6,2-3</t>
  </si>
  <si>
    <t>2-6,2-6</t>
  </si>
  <si>
    <t>2-6,3-6</t>
  </si>
  <si>
    <t>3-6,3-6</t>
  </si>
  <si>
    <t>2-3-6,2</t>
  </si>
  <si>
    <t>2-3-6,6</t>
  </si>
  <si>
    <t>2-3,2-3-6</t>
  </si>
  <si>
    <t>2-6,2-3-6</t>
  </si>
  <si>
    <t>3-6,2-3-6</t>
  </si>
  <si>
    <t>2-3-6,2-3</t>
  </si>
  <si>
    <t>2-3-6,2-6</t>
  </si>
  <si>
    <t>2-3-6,3-6</t>
  </si>
  <si>
    <t>wb97xd/6-31+g(2df,p)</t>
  </si>
  <si>
    <t>2-3-6,2-3-6</t>
  </si>
  <si>
    <t>Have energies for</t>
  </si>
  <si>
    <t>Energies not opt'd recntly</t>
  </si>
  <si>
    <t xml:space="preserve"> but should be in historical files somewhere</t>
  </si>
  <si>
    <t>kcal/mol</t>
  </si>
  <si>
    <t>cont_opt_NC2-3_2-3.out</t>
  </si>
  <si>
    <t xml:space="preserve"> SCF Done:  E(RwB97XD) =  -2193.97211300     A.U. after    2 cycles</t>
  </si>
  <si>
    <t xml:space="preserve"> Zero-point correction=                           0.440263 (Hartree/Particle)</t>
  </si>
  <si>
    <t xml:space="preserve"> Thermal correction to Energy=                    0.476753</t>
  </si>
  <si>
    <t xml:space="preserve"> Thermal correction to Enthalpy=                  0.477697</t>
  </si>
  <si>
    <t xml:space="preserve"> Thermal correction to Gibbs Free Energy=         0.365898</t>
  </si>
  <si>
    <t xml:space="preserve"> Sum of electronic and zero-point Energies=          -2193.531850</t>
  </si>
  <si>
    <t xml:space="preserve"> Sum of electronic and thermal Energies=             -2193.495360</t>
  </si>
  <si>
    <t xml:space="preserve"> Sum of electronic and thermal Enthalpies=           -2193.494416</t>
  </si>
  <si>
    <t xml:space="preserve"> Sum of electronic and thermal Free Energies=        -2193.606215</t>
  </si>
  <si>
    <t>cont_opt_NC2-3_2-6.out</t>
  </si>
  <si>
    <t xml:space="preserve"> SCF Done:  E(RwB97XD) =  -2193.97029980     A.U. after    2 cycles</t>
  </si>
  <si>
    <t xml:space="preserve"> Zero-point correction=                           0.439077 (Hartree/Particle)</t>
  </si>
  <si>
    <t xml:space="preserve"> Thermal correction to Energy=                    0.476064</t>
  </si>
  <si>
    <t xml:space="preserve"> Thermal correction to Enthalpy=                  0.477008</t>
  </si>
  <si>
    <t xml:space="preserve"> Thermal correction to Gibbs Free Energy=         0.361243</t>
  </si>
  <si>
    <t xml:space="preserve"> Sum of electronic and zero-point Energies=          -2193.531223</t>
  </si>
  <si>
    <t xml:space="preserve"> Sum of electronic and thermal Energies=             -2193.494236</t>
  </si>
  <si>
    <t xml:space="preserve"> Sum of electronic and thermal Enthalpies=           -2193.493292</t>
  </si>
  <si>
    <t xml:space="preserve"> Sum of electronic and thermal Free Energies=        -</t>
  </si>
  <si>
    <t>cont_opt_NC2-3_3-6.out</t>
  </si>
  <si>
    <t xml:space="preserve"> SCF Done:  E(RwB97XD) =  -2193.97885546     A.U. after    2 cycles</t>
  </si>
  <si>
    <t xml:space="preserve"> Zero-point correction=                           0.440468 (Hartree/Particle)</t>
  </si>
  <si>
    <t xml:space="preserve"> Thermal correction to Energy=                    0.476675</t>
  </si>
  <si>
    <t xml:space="preserve"> Thermal correction to Enthalpy=                  0.477619</t>
  </si>
  <si>
    <t xml:space="preserve"> Thermal correction to Gibbs Free Energy=         0.366327</t>
  </si>
  <si>
    <t xml:space="preserve"> Sum of electronic and zero-point Energies=          -2193.538387</t>
  </si>
  <si>
    <t xml:space="preserve"> Sum of electronic and thermal Energies=             -2193.502180</t>
  </si>
  <si>
    <t xml:space="preserve"> Sum of electronic and thermal Enthalpies=           -2193.501236</t>
  </si>
  <si>
    <t xml:space="preserve"> Sum of electronic and thermal Free Energies=        </t>
  </si>
  <si>
    <t>NC2-3_2-3</t>
  </si>
  <si>
    <t>NC2-3_2-6</t>
  </si>
  <si>
    <t>NC2-3_3-6</t>
  </si>
  <si>
    <t>cont_opt_NC2-3-6_2.out</t>
  </si>
  <si>
    <t xml:space="preserve"> SCF Done:  E(RwB97XD) =  -2193.96973970     A.U. after    2 cycles</t>
  </si>
  <si>
    <t xml:space="preserve"> Zero-point correction=                           0.439520 (Hartree/Particle)</t>
  </si>
  <si>
    <t xml:space="preserve"> Thermal correction to Energy=                    0.476322</t>
  </si>
  <si>
    <t xml:space="preserve"> Thermal correction to Enthalpy=                  0.477266</t>
  </si>
  <si>
    <t xml:space="preserve"> Thermal correction to Gibbs Free Energy=         0.362827</t>
  </si>
  <si>
    <t xml:space="preserve"> Sum of electronic and zero-point Energies=          -2193.530219</t>
  </si>
  <si>
    <t xml:space="preserve"> Sum of electronic and thermal Energies=             -2193.493418</t>
  </si>
  <si>
    <t xml:space="preserve"> Sum of electronic and thermal Enthalpies=           -2193.492474</t>
  </si>
  <si>
    <t>NC2-3-6_2</t>
  </si>
  <si>
    <t xml:space="preserve"> Sum of electronic and thermal Free Energies=       </t>
  </si>
  <si>
    <t>cont_opt_NC2-3-6_3.out</t>
  </si>
  <si>
    <t xml:space="preserve"> SCF Done:  E(RwB97XD) =  -2193.97038904     A.U. after   14 cycles</t>
  </si>
  <si>
    <t xml:space="preserve"> Zero-point correction=                           0.442730 (Hartree/Particle)</t>
  </si>
  <si>
    <t xml:space="preserve"> Thermal correction to Energy=                    0.479078</t>
  </si>
  <si>
    <t xml:space="preserve"> Thermal correction to Enthalpy=                  0.480022</t>
  </si>
  <si>
    <t xml:space="preserve"> Thermal correction to Gibbs Free Energy=         0.368526</t>
  </si>
  <si>
    <t xml:space="preserve"> Sum of electronic and zero-point Energies=          -2193.353017</t>
  </si>
  <si>
    <t xml:space="preserve"> Sum of electronic and thermal Energies=             -2193.316670</t>
  </si>
  <si>
    <t xml:space="preserve"> Sum of electronic and thermal Enthalpies=           -2193.315726</t>
  </si>
  <si>
    <t>NC2-3-6_3</t>
  </si>
  <si>
    <t xml:space="preserve"> SCF Done:  E(RwB97XD) =  -2193.97281900     A.U. after    2 cycles</t>
  </si>
  <si>
    <t xml:space="preserve"> Zero-point correction=                           0.439011 (Hartree/Particle)</t>
  </si>
  <si>
    <t xml:space="preserve"> Thermal correction to Energy=                    0.475861</t>
  </si>
  <si>
    <t xml:space="preserve"> Thermal correction to Enthalpy=                  0.476806</t>
  </si>
  <si>
    <t xml:space="preserve"> Thermal correction to Gibbs Free Energy=         0.362024</t>
  </si>
  <si>
    <t xml:space="preserve"> Sum of electronic and zero-point Energies=          -2193.533808</t>
  </si>
  <si>
    <t xml:space="preserve"> Sum of electronic and thermal Energies=             -2193.496958</t>
  </si>
  <si>
    <t xml:space="preserve"> Sum of electronic and thermal Enthalpies=           -2193.496013</t>
  </si>
  <si>
    <t>cont_opt_NC2_2-3.out</t>
  </si>
  <si>
    <t xml:space="preserve"> SCF Done:  E(RwB97XD) =  -1989.55705350     A.U. after    1 cycles</t>
  </si>
  <si>
    <t xml:space="preserve"> Zero-point correction=                           0.438108 (Hartree/Particle)</t>
  </si>
  <si>
    <t xml:space="preserve"> Thermal correction to Energy=                    0.472012</t>
  </si>
  <si>
    <t xml:space="preserve"> Thermal correction to Enthalpy=                  0.472956</t>
  </si>
  <si>
    <t xml:space="preserve"> Thermal correction to Gibbs Free Energy=         0.369167</t>
  </si>
  <si>
    <t xml:space="preserve"> Sum of electronic and zero-point Energies=          -1989.118946</t>
  </si>
  <si>
    <t xml:space="preserve"> Sum of electronic and thermal Energies=             -1989.085042</t>
  </si>
  <si>
    <t xml:space="preserve"> Sum of electronic and thermal Enthalpies=           -1989.084098</t>
  </si>
  <si>
    <t xml:space="preserve"> Sum of electronic and thermal Free Energies=        -1989.187887</t>
  </si>
  <si>
    <t>NC2_2-3</t>
  </si>
  <si>
    <t>cont_opt_NC2-3_3.out</t>
  </si>
  <si>
    <t xml:space="preserve"> SCF Done:  E(RwB97XD) =  -1989.55869655     A.U. after    1 cycles</t>
  </si>
  <si>
    <t xml:space="preserve"> Zero-point correction=                           0.437566 (Hartree/Particle)</t>
  </si>
  <si>
    <t xml:space="preserve"> Thermal correction to Energy=                    0.471666</t>
  </si>
  <si>
    <t xml:space="preserve"> Thermal correction to Enthalpy=                  0.472610</t>
  </si>
  <si>
    <t xml:space="preserve"> Thermal correction to Gibbs Free Energy=         0.367763</t>
  </si>
  <si>
    <t xml:space="preserve"> Sum of electronic and zero-point Energies=          -1989.121131</t>
  </si>
  <si>
    <t xml:space="preserve"> Sum of electronic and thermal Energies=             -1989.087031</t>
  </si>
  <si>
    <t xml:space="preserve"> Sum of electronic and thermal Enthalpies=           -1989.086086</t>
  </si>
  <si>
    <t xml:space="preserve"> Sum of electronic and thermal Free Energies=        -1989.190933</t>
  </si>
  <si>
    <t>NC2-3_3</t>
  </si>
  <si>
    <t>cont_opt_NC2-3_6.out</t>
  </si>
  <si>
    <t xml:space="preserve"> SCF Done:  E(RwB97XD) =  -1989.55753665     A.U. after    1 cycles</t>
  </si>
  <si>
    <t xml:space="preserve"> Zero-point correction=                           0.437316 (Hartree/Parti</t>
  </si>
  <si>
    <t>cle)</t>
  </si>
  <si>
    <t xml:space="preserve"> Thermal correction to Energy=                    0.471596</t>
  </si>
  <si>
    <t xml:space="preserve"> Thermal correction to Enthalpy=                  0.472540</t>
  </si>
  <si>
    <t xml:space="preserve"> Thermal correction to Gibbs Free Energy=         0.365512</t>
  </si>
  <si>
    <t xml:space="preserve"> Sum of electronic and zero-point Energies=          -1989.120221</t>
  </si>
  <si>
    <t xml:space="preserve"> Sum of electronic and thermal Energies=             -1989.085941</t>
  </si>
  <si>
    <t xml:space="preserve"> Sum of electronic and thermal Enthalpies=           -1989.084997</t>
  </si>
  <si>
    <t xml:space="preserve"> Sum of electronic and thermal Free Energies=        -1989.192025</t>
  </si>
  <si>
    <t>NC2-3_6</t>
  </si>
  <si>
    <t>cont_opt_NC3_2-3.out</t>
  </si>
  <si>
    <t xml:space="preserve"> SCF Done:  E(RwB97XD) =  -1989.55590100     A.U. after    1 cycles</t>
  </si>
  <si>
    <t xml:space="preserve"> Zero-point correction=                           0.437109 (Hartree/Parti</t>
  </si>
  <si>
    <t xml:space="preserve"> Thermal correction to Energy=                    0.471306</t>
  </si>
  <si>
    <t xml:space="preserve"> Thermal correction to Enthalpy=                  0.472251</t>
  </si>
  <si>
    <t xml:space="preserve"> Thermal correction to Gibbs Free Energy=         0.366871</t>
  </si>
  <si>
    <t xml:space="preserve"> Sum of electronic and zero-point Energies=          -1989.118792</t>
  </si>
  <si>
    <t xml:space="preserve"> Sum of electronic and thermal Energies=             -1989.084595</t>
  </si>
  <si>
    <t xml:space="preserve"> Sum of electronic and thermal Enthalpies=           -1989.083650</t>
  </si>
  <si>
    <t>NC3_2-3</t>
  </si>
  <si>
    <t>cont_opt_NC3_3-6.out</t>
  </si>
  <si>
    <t xml:space="preserve"> SCF Done:  E(RwB97XD) =  -1989.56471556     A.U. after    1 cycles</t>
  </si>
  <si>
    <t xml:space="preserve"> Zero-point correction=                           0.437951 (Hartree/Parti</t>
  </si>
  <si>
    <t xml:space="preserve"> Thermal correction to Energy=                    0.471847</t>
  </si>
  <si>
    <t xml:space="preserve"> Thermal correction to Enthalpy=                  0.472791</t>
  </si>
  <si>
    <t xml:space="preserve"> Thermal correction to Gibbs Free Energy=         0.368014</t>
  </si>
  <si>
    <t xml:space="preserve"> Sum of electronic and zero-point Energies=          -1989.126765</t>
  </si>
  <si>
    <t xml:space="preserve"> Sum of electronic and thermal Energies=             -1989.092869</t>
  </si>
  <si>
    <t xml:space="preserve"> Sum of electronic and thermal Enthalpies=           -1989.091925</t>
  </si>
  <si>
    <t>NC3_3-6</t>
  </si>
  <si>
    <t xml:space="preserve">BONUS: </t>
  </si>
  <si>
    <t xml:space="preserve"> SCF Done:  E(RwB97XD) =  -1989.55921932     A.U. after    1 cycles</t>
  </si>
  <si>
    <t xml:space="preserve"> Zero-point correction=                           0.437371 (Hartree/Particle)</t>
  </si>
  <si>
    <t xml:space="preserve"> Thermal correction to Energy=                    0.471568</t>
  </si>
  <si>
    <t xml:space="preserve"> Thermal correction to Enthalpy=                  0.472512</t>
  </si>
  <si>
    <t xml:space="preserve"> Thermal correction to Gibbs Free Energy=         0.366925</t>
  </si>
  <si>
    <t xml:space="preserve"> Sum of electronic and zero-point Energies=          -1989.121849</t>
  </si>
  <si>
    <t xml:space="preserve"> Sum of electronic and thermal Energies=             -1989.087651</t>
  </si>
  <si>
    <t xml:space="preserve"> Sum of electronic and thermal Enthalpies=           -1989.086707</t>
  </si>
  <si>
    <t>(actually NC3-6_3, but derived via diff route)</t>
  </si>
  <si>
    <t>_cont_opt_NC3-6_2-6.out</t>
  </si>
  <si>
    <t>Their Free E's and geometries are v similar, fortunately.</t>
  </si>
  <si>
    <t>cont_opt_NC3-6_2.out</t>
  </si>
  <si>
    <t xml:space="preserve"> SCF Done:  E(RwB97XD) =  -1989.55303140     A.U. after    2 cycles</t>
  </si>
  <si>
    <t xml:space="preserve"> Zero-point correction=                           0.437421 (Hartree/Parti</t>
  </si>
  <si>
    <t xml:space="preserve"> Thermal correction to Energy=                    0.471817</t>
  </si>
  <si>
    <t xml:space="preserve"> Thermal correction to Enthalpy=                  0.472762</t>
  </si>
  <si>
    <t xml:space="preserve"> Thermal correction to Gibbs Free Energy=         0.365505</t>
  </si>
  <si>
    <t xml:space="preserve"> Sum of electronic and zero-point Energies=          -1989.115611</t>
  </si>
  <si>
    <t xml:space="preserve"> Sum of electronic and thermal Energies=             -1989.081214</t>
  </si>
  <si>
    <t xml:space="preserve"> Sum of electronic and thermal Enthalpies=           -1989.080270</t>
  </si>
  <si>
    <t>NC3-6_2</t>
  </si>
  <si>
    <t>cont_opt_NC3-6_3.out</t>
  </si>
  <si>
    <t xml:space="preserve"> Thermal correction to Enthalpy=                  0.472513</t>
  </si>
  <si>
    <t xml:space="preserve"> Thermal correction to Gibbs Free Energy=         0.366920</t>
  </si>
  <si>
    <t>NC3-6_3</t>
  </si>
  <si>
    <t>NC3-6_6</t>
  </si>
  <si>
    <t>NC2-6_6</t>
  </si>
  <si>
    <t xml:space="preserve"> Zero-point correction=                           0.437370 (Hartree/Particle) Thermal correction to Energy=                    0.471568</t>
  </si>
  <si>
    <t xml:space="preserve"> Sum of electronic and thermal Free Energies=     </t>
  </si>
  <si>
    <t>*we do need these two, as 2-6_6 was a contender for loweset E</t>
  </si>
  <si>
    <t>NC0_62.out</t>
  </si>
  <si>
    <t xml:space="preserve"> SCF Done:  E(RwB97XD) =  -1785.14850887     A.U. after    1 cycles</t>
  </si>
  <si>
    <t xml:space="preserve"> Zero-point correction=                           0.435738 (Hartree/Particle)</t>
  </si>
  <si>
    <t xml:space="preserve"> Thermal correction to Energy=                    0.467113</t>
  </si>
  <si>
    <t xml:space="preserve"> Thermal correction to Enthalpy=                  0.468057</t>
  </si>
  <si>
    <t xml:space="preserve"> Thermal correction to Gibbs Free Energy=         0.369048</t>
  </si>
  <si>
    <t xml:space="preserve"> Sum of electronic and zero-point Energies=          -1784.712771</t>
  </si>
  <si>
    <t xml:space="preserve"> Sum of electronic and thermal Energies=             -1784.681396</t>
  </si>
  <si>
    <t xml:space="preserve"> Sum of electronic and thermal Enthalpies=           -1784.680452</t>
  </si>
  <si>
    <t xml:space="preserve"> Sum of electronic and thermal Free Energies=        -1784.779461</t>
  </si>
  <si>
    <t>from legion:/home/uccajla/ravensav/stability/0_6-route</t>
  </si>
  <si>
    <t>NC0_2-6</t>
  </si>
  <si>
    <t>NC0_63.out</t>
  </si>
  <si>
    <t xml:space="preserve"> SCF Done:  E(RwB97XD) =  -1785.15170388     A.U. after    1 cycles</t>
  </si>
  <si>
    <t xml:space="preserve"> Zero-point correction=                           0.436174 (Hartree/Particle)</t>
  </si>
  <si>
    <t xml:space="preserve"> Thermal correction to Energy=                    0.467245</t>
  </si>
  <si>
    <t xml:space="preserve"> Thermal correction to Enthalpy=                  0.468189</t>
  </si>
  <si>
    <t xml:space="preserve"> Thermal correction to Gibbs Free Energy=         0.372303</t>
  </si>
  <si>
    <t xml:space="preserve"> Sum of electronic and zero-point Energies=          -1784.715530</t>
  </si>
  <si>
    <t xml:space="preserve"> Sum of electronic and thermal Energies=             -1784.684459</t>
  </si>
  <si>
    <t xml:space="preserve"> Sum of electronic and thermal Enthalpies=           -1784.683515</t>
  </si>
  <si>
    <t>NC0_3-6</t>
  </si>
  <si>
    <t>opt_NC2_3.out</t>
  </si>
  <si>
    <t xml:space="preserve"> SCF Done:  E(RwB97XD) =  -1785.14314192     A.U. after    1 cycles</t>
  </si>
  <si>
    <t xml:space="preserve"> Zero-point correction=                           0.435818 (Hartree/Particle)</t>
  </si>
  <si>
    <t xml:space="preserve"> Thermal correction to Energy=                    0.467296</t>
  </si>
  <si>
    <t xml:space="preserve"> Thermal correction to Enthalpy=                  0.468241</t>
  </si>
  <si>
    <t xml:space="preserve"> Thermal correction to Gibbs Free Energy=         0.371462</t>
  </si>
  <si>
    <t xml:space="preserve"> Sum of electronic and zero-point Energies=          -1784.707324</t>
  </si>
  <si>
    <t xml:space="preserve"> Sum of electronic and thermal Energies=             -1784.675846</t>
  </si>
  <si>
    <t xml:space="preserve"> Sum of electronic and thermal Enthalpies=           -1784.674901</t>
  </si>
  <si>
    <t>NC2_3</t>
  </si>
  <si>
    <t>opt_NC3_2.out</t>
  </si>
  <si>
    <t xml:space="preserve"> SCF Done:  E(RwB97XD) =  -1785.14037784     A.U. after    1 cycles</t>
  </si>
  <si>
    <t xml:space="preserve"> Zero-point correction=                           0.435116 (Hartree/Particle)</t>
  </si>
  <si>
    <t xml:space="preserve"> Thermal correction to Energy=                    0.466913</t>
  </si>
  <si>
    <t xml:space="preserve"> Thermal correction to Enthalpy=                  0.467857</t>
  </si>
  <si>
    <t xml:space="preserve"> Thermal correction to Gibbs Free Energy=         0.367620</t>
  </si>
  <si>
    <t xml:space="preserve"> Sum of electronic and zero-point Energies=          -1784.705262</t>
  </si>
  <si>
    <t xml:space="preserve"> Sum of electronic and thermal Energies=             -1784.673465</t>
  </si>
  <si>
    <t xml:space="preserve"> Sum of electronic and thermal Enthalpies=           -1784.672521</t>
  </si>
  <si>
    <t>NC3_2</t>
  </si>
  <si>
    <t xml:space="preserve"> SCF Done:  E(RwB97XD) =  -1785.14527780     A.U. after    1 cycles</t>
  </si>
  <si>
    <t xml:space="preserve"> Zero-point correction=                           0.435563 (Hartree/Particle)</t>
  </si>
  <si>
    <t xml:space="preserve"> Thermal correction to Energy=                    0.466946</t>
  </si>
  <si>
    <t xml:space="preserve"> Thermal correction to Enthalpy=                  0.467890</t>
  </si>
  <si>
    <t xml:space="preserve"> Thermal correction to Gibbs Free Energy=         0.370844</t>
  </si>
  <si>
    <t xml:space="preserve"> Sum of electronic and zero-point Energies=          -1784.709715</t>
  </si>
  <si>
    <t xml:space="preserve"> Sum of electronic and thermal Energies=             -1784.678332</t>
  </si>
  <si>
    <t xml:space="preserve"> Sum of electronic and thermal Enthalpies=           -1784.677387</t>
  </si>
  <si>
    <t>opt_NC3_3_notfull.out</t>
  </si>
  <si>
    <t>NC236_63.out</t>
  </si>
  <si>
    <t xml:space="preserve"> SCF Done:  E(RwB97XD) =  -2398.39591132     A.U. after    4 cycles</t>
  </si>
  <si>
    <t xml:space="preserve"> Zero-point correction=                           0.442990 (Hartree/Particle)</t>
  </si>
  <si>
    <t xml:space="preserve"> Thermal correction to Energy=                    0.481524</t>
  </si>
  <si>
    <t xml:space="preserve"> Thermal correction to Enthalpy=                  0.482468</t>
  </si>
  <si>
    <t xml:space="preserve"> Thermal correction to Gibbs Free Energy=         0.364506</t>
  </si>
  <si>
    <t xml:space="preserve"> Sum of electronic and zero-point Energies=          -2397.952921</t>
  </si>
  <si>
    <t xml:space="preserve"> Sum of electronic and thermal Energies=             -2397.914387</t>
  </si>
  <si>
    <t xml:space="preserve"> Sum of electronic and thermal Enthalpies=           -2397.913443</t>
  </si>
  <si>
    <t>BONUS:</t>
  </si>
  <si>
    <t>NC362_63secondmid-mid.out</t>
  </si>
  <si>
    <t xml:space="preserve"> SCF Done:  E(RwB97XD) =  -2398.39619798     A.U. after    6 cycles</t>
  </si>
  <si>
    <t xml:space="preserve"> Zero-point correction=                           0.442560 (Hartree/Particle)</t>
  </si>
  <si>
    <t xml:space="preserve"> Thermal correction to Energy=                    0.481099</t>
  </si>
  <si>
    <t xml:space="preserve"> Thermal correction to Enthalpy=                  0.482043</t>
  </si>
  <si>
    <t xml:space="preserve"> Thermal correction to Gibbs Free Energy=         0.363495</t>
  </si>
  <si>
    <t xml:space="preserve"> Sum of electronic and zero-point Energies=          -2397.953638</t>
  </si>
  <si>
    <t xml:space="preserve"> Sum of electronic and thermal Energies=             -2397.915099</t>
  </si>
  <si>
    <t xml:space="preserve"> Sum of electronic and thermal Enthalpies=           -2397.914155</t>
  </si>
  <si>
    <t xml:space="preserve"> Sum of electronic and thermal Free Energies=        -2398.032703</t>
  </si>
  <si>
    <t>kj.mol difference between the</t>
  </si>
  <si>
    <t xml:space="preserve"> two different routes of reaching NC2-3-6_3-6</t>
  </si>
  <si>
    <t>This one has some dodgy crosslinking. Use below</t>
  </si>
  <si>
    <t>NC6_2-3-6</t>
  </si>
  <si>
    <t>NC3-6_3-6</t>
  </si>
  <si>
    <t>found on legion:/home/uccajla/Scratch/delta_G_stab</t>
  </si>
  <si>
    <t>from legion:/home/uccajla/Scratch/delta_G_stab</t>
  </si>
  <si>
    <t>NC2-6_2-6-hi.out</t>
  </si>
  <si>
    <t xml:space="preserve"> SCF Done:  E(RwB97XD) =  -2193.97538375     A.U. after    2 cycles</t>
  </si>
  <si>
    <t xml:space="preserve"> Zero-point correction=                           0.439446 (Hartree/Particle)</t>
  </si>
  <si>
    <t xml:space="preserve"> Thermal correction to Energy=                    0.476123</t>
  </si>
  <si>
    <t xml:space="preserve"> Thermal correction to Enthalpy=                  0.477067</t>
  </si>
  <si>
    <t xml:space="preserve"> Thermal correction to Gibbs Free Energy=         0.362840</t>
  </si>
  <si>
    <t xml:space="preserve"> Sum of electronic and zero-point Energies=          -2193.535937</t>
  </si>
  <si>
    <t xml:space="preserve"> Sum of electronic and thermal Energies=             -2193.499260</t>
  </si>
  <si>
    <t xml:space="preserve"> Sum of electronic and thermal Enthalpies=           -2193.498316</t>
  </si>
  <si>
    <t xml:space="preserve"> Sum of electronic and thermal Free Energies=        -2193.612543</t>
  </si>
  <si>
    <t>NC2-6_2-6</t>
  </si>
  <si>
    <t>from legion: /home/uccajla/Scratch/delta_G_stab</t>
  </si>
  <si>
    <t>NC2-6_2-hi.out</t>
  </si>
  <si>
    <t xml:space="preserve"> SCF Done:  E(RwB97XD) =  -1989.55814735     A.U. after    1 cycles</t>
  </si>
  <si>
    <t xml:space="preserve"> Zero-point correction=                           0.437540 (Hartree/Particle)</t>
  </si>
  <si>
    <t xml:space="preserve"> Thermal correction to Energy=                    0.471470</t>
  </si>
  <si>
    <t xml:space="preserve"> Thermal correction to Enthalpy=                  0.472415</t>
  </si>
  <si>
    <t xml:space="preserve"> Thermal correction to Gibbs Free Energy=         0.366581</t>
  </si>
  <si>
    <t xml:space="preserve"> Sum of electronic and zero-point Energies=          -1989.120608</t>
  </si>
  <si>
    <t xml:space="preserve"> Sum of electronic and thermal Energies=             -1989.086677</t>
  </si>
  <si>
    <t xml:space="preserve"> Sum of electronic and thermal Enthalpies=           -1989.085733</t>
  </si>
  <si>
    <t xml:space="preserve"> Sum of electronic and thermal Free Energies=        -1989.191567</t>
  </si>
  <si>
    <t>NC2-6_2</t>
  </si>
  <si>
    <t>NC2-6_3-hi.out</t>
  </si>
  <si>
    <t>refers to NC2-6_2-3-6, NOT what the name actually says</t>
  </si>
  <si>
    <t>lowest E:</t>
  </si>
  <si>
    <t>from  legon:/home/uccajla/ravensav/stability/0_63-route/3_63-route/36_63-route</t>
  </si>
  <si>
    <t>C_i-X - Cellulose conc</t>
  </si>
  <si>
    <t>X_i - nitrocellulose conc</t>
  </si>
  <si>
    <t>A_i - acid conc</t>
  </si>
  <si>
    <t>Numbers- free E at each conc ratio</t>
  </si>
  <si>
    <t>Nitration</t>
  </si>
  <si>
    <t>Nitration:</t>
  </si>
  <si>
    <t>cellulose dimer</t>
  </si>
  <si>
    <t>from grace:/home/uccajla/ravensave/delta_G_stab/delta_dimers</t>
  </si>
  <si>
    <t>Cell + X HNO3 -&gt; NC-X + x H2O</t>
  </si>
  <si>
    <t>Nitration Dimer</t>
  </si>
  <si>
    <t>chemical potential (kJ/mol)</t>
  </si>
  <si>
    <t>x_i</t>
  </si>
  <si>
    <t>c_i-x</t>
  </si>
  <si>
    <t xml:space="preserve"> a_i = 1</t>
  </si>
  <si>
    <t xml:space="preserve">Γ_N = </t>
  </si>
  <si>
    <t>a_i = 1</t>
  </si>
  <si>
    <t>for remaining as cellulose</t>
  </si>
  <si>
    <t>Cell  -&gt; cell</t>
  </si>
  <si>
    <t xml:space="preserve"> a_i </t>
  </si>
  <si>
    <t xml:space="preserve">Γ_N = , a_i = </t>
  </si>
  <si>
    <t>NC0_6</t>
  </si>
  <si>
    <t>NC0_6.out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</si>
</sst>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00000000000000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theme="0" tint="-0.34998626667073579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1" xfId="0" applyBorder="1"/>
    <xf numFmtId="164" fontId="0" fillId="0" borderId="2" xfId="0" applyNumberFormat="1" applyBorder="1"/>
    <xf numFmtId="164" fontId="3" fillId="0" borderId="2" xfId="0" applyNumberFormat="1" applyFont="1" applyBorder="1"/>
    <xf numFmtId="164" fontId="0" fillId="0" borderId="3" xfId="0" applyNumberFormat="1" applyBorder="1"/>
    <xf numFmtId="165" fontId="0" fillId="0" borderId="0" xfId="0" applyNumberFormat="1"/>
    <xf numFmtId="0" fontId="0" fillId="0" borderId="4" xfId="0" applyBorder="1"/>
    <xf numFmtId="164" fontId="0" fillId="0" borderId="0" xfId="0" applyNumberFormat="1" applyBorder="1"/>
    <xf numFmtId="164" fontId="3" fillId="0" borderId="0" xfId="0" applyNumberFormat="1" applyFont="1" applyBorder="1"/>
    <xf numFmtId="164" fontId="0" fillId="0" borderId="5" xfId="0" applyNumberFormat="1" applyBorder="1"/>
    <xf numFmtId="164" fontId="3" fillId="0" borderId="5" xfId="0" applyNumberFormat="1" applyFont="1" applyBorder="1"/>
    <xf numFmtId="164" fontId="1" fillId="0" borderId="0" xfId="0" applyNumberFormat="1" applyFont="1" applyBorder="1"/>
    <xf numFmtId="0" fontId="1" fillId="0" borderId="0" xfId="0" applyFont="1"/>
    <xf numFmtId="0" fontId="0" fillId="0" borderId="6" xfId="0" applyBorder="1"/>
    <xf numFmtId="164" fontId="0" fillId="0" borderId="7" xfId="0" applyNumberFormat="1" applyBorder="1"/>
    <xf numFmtId="164" fontId="6" fillId="0" borderId="7" xfId="0" applyNumberFormat="1" applyFont="1" applyBorder="1"/>
    <xf numFmtId="164" fontId="0" fillId="0" borderId="8" xfId="0" applyNumberFormat="1" applyBorder="1"/>
    <xf numFmtId="0" fontId="6" fillId="0" borderId="0" xfId="0" applyFont="1"/>
    <xf numFmtId="164" fontId="0" fillId="0" borderId="0" xfId="0" applyNumberFormat="1"/>
    <xf numFmtId="164" fontId="7" fillId="0" borderId="0" xfId="0" applyNumberFormat="1" applyFont="1"/>
    <xf numFmtId="0" fontId="7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0" fontId="8" fillId="0" borderId="0" xfId="0" applyFont="1"/>
    <xf numFmtId="165" fontId="3" fillId="0" borderId="0" xfId="0" applyNumberFormat="1" applyFont="1"/>
    <xf numFmtId="0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0" xfId="0" applyFill="1" applyBorder="1"/>
    <xf numFmtId="0" fontId="0" fillId="0" borderId="11" xfId="0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2" xfId="0" applyNumberFormat="1" applyFont="1" applyBorder="1"/>
    <xf numFmtId="164" fontId="0" fillId="0" borderId="13" xfId="0" applyNumberFormat="1" applyFont="1" applyBorder="1"/>
    <xf numFmtId="0" fontId="0" fillId="3" borderId="14" xfId="0" applyNumberFormat="1" applyFont="1" applyFill="1" applyBorder="1"/>
    <xf numFmtId="164" fontId="0" fillId="3" borderId="15" xfId="0" applyNumberFormat="1" applyFont="1" applyFill="1" applyBorder="1"/>
    <xf numFmtId="0" fontId="0" fillId="3" borderId="16" xfId="0" applyNumberFormat="1" applyFont="1" applyFill="1" applyBorder="1"/>
    <xf numFmtId="0" fontId="0" fillId="0" borderId="14" xfId="0" applyNumberFormat="1" applyFont="1" applyBorder="1"/>
    <xf numFmtId="164" fontId="0" fillId="0" borderId="15" xfId="0" applyNumberFormat="1" applyFont="1" applyBorder="1"/>
    <xf numFmtId="0" fontId="0" fillId="0" borderId="16" xfId="0" applyNumberFormat="1" applyFont="1" applyBorder="1"/>
    <xf numFmtId="0" fontId="13" fillId="0" borderId="0" xfId="0" applyNumberFormat="1" applyFont="1"/>
    <xf numFmtId="164" fontId="13" fillId="0" borderId="0" xfId="0" applyNumberFormat="1" applyFont="1"/>
    <xf numFmtId="0" fontId="2" fillId="3" borderId="0" xfId="0" applyNumberFormat="1" applyFont="1" applyFill="1" applyBorder="1"/>
    <xf numFmtId="0" fontId="0" fillId="4" borderId="0" xfId="0" applyFill="1"/>
    <xf numFmtId="164" fontId="0" fillId="4" borderId="0" xfId="0" applyNumberFormat="1" applyFill="1"/>
    <xf numFmtId="0" fontId="9" fillId="4" borderId="0" xfId="0" applyFont="1" applyFill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0" xfId="0" applyFill="1"/>
    <xf numFmtId="164" fontId="0" fillId="5" borderId="0" xfId="0" applyNumberFormat="1" applyFill="1"/>
    <xf numFmtId="0" fontId="9" fillId="5" borderId="0" xfId="0" applyFont="1" applyFill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8" fillId="0" borderId="14" xfId="0" applyNumberFormat="1" applyFont="1" applyBorder="1"/>
    <xf numFmtId="0" fontId="8" fillId="0" borderId="10" xfId="0" applyFont="1" applyFill="1" applyBorder="1"/>
    <xf numFmtId="164" fontId="8" fillId="0" borderId="0" xfId="0" applyNumberFormat="1" applyFont="1"/>
    <xf numFmtId="0" fontId="8" fillId="0" borderId="0" xfId="0" applyNumberFormat="1" applyFont="1"/>
    <xf numFmtId="0" fontId="0" fillId="0" borderId="0" xfId="0" applyFont="1"/>
    <xf numFmtId="0" fontId="14" fillId="5" borderId="0" xfId="0" applyNumberFormat="1" applyFont="1" applyFill="1"/>
    <xf numFmtId="0" fontId="15" fillId="5" borderId="0" xfId="0" applyNumberFormat="1" applyFont="1" applyFill="1"/>
    <xf numFmtId="0" fontId="16" fillId="6" borderId="0" xfId="0" applyNumberFormat="1" applyFont="1" applyFill="1"/>
    <xf numFmtId="0" fontId="16" fillId="0" borderId="0" xfId="0" applyFont="1"/>
    <xf numFmtId="0" fontId="17" fillId="0" borderId="0" xfId="0" applyFont="1"/>
    <xf numFmtId="165" fontId="18" fillId="0" borderId="0" xfId="0" applyNumberFormat="1" applyFont="1"/>
    <xf numFmtId="0" fontId="9" fillId="0" borderId="0" xfId="0" applyFont="1"/>
    <xf numFmtId="165" fontId="3" fillId="7" borderId="0" xfId="0" applyNumberFormat="1" applyFont="1" applyFill="1"/>
    <xf numFmtId="0" fontId="19" fillId="8" borderId="0" xfId="0" applyFont="1" applyFill="1"/>
    <xf numFmtId="165" fontId="20" fillId="9" borderId="0" xfId="0" applyNumberFormat="1" applyFont="1" applyFill="1"/>
    <xf numFmtId="0" fontId="0" fillId="10" borderId="0" xfId="0" applyFill="1"/>
    <xf numFmtId="16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1" fillId="10" borderId="0" xfId="0" applyFont="1" applyFill="1"/>
    <xf numFmtId="0" fontId="15" fillId="0" borderId="0" xfId="0" applyFont="1"/>
    <xf numFmtId="165" fontId="15" fillId="0" borderId="0" xfId="0" applyNumberFormat="1" applyFont="1"/>
    <xf numFmtId="0" fontId="23" fillId="0" borderId="0" xfId="0" applyFont="1"/>
    <xf numFmtId="0" fontId="4" fillId="0" borderId="0" xfId="0" applyFont="1"/>
    <xf numFmtId="0" fontId="0" fillId="3" borderId="0" xfId="0" applyNumberFormat="1" applyFont="1" applyFill="1" applyBorder="1"/>
    <xf numFmtId="164" fontId="0" fillId="0" borderId="0" xfId="0" applyNumberFormat="1" applyFont="1" applyBorder="1"/>
    <xf numFmtId="164" fontId="2" fillId="0" borderId="0" xfId="0" applyNumberFormat="1" applyFont="1"/>
    <xf numFmtId="164" fontId="15" fillId="0" borderId="0" xfId="0" applyNumberFormat="1" applyFont="1"/>
    <xf numFmtId="165" fontId="0" fillId="0" borderId="3" xfId="0" applyNumberFormat="1" applyBorder="1"/>
    <xf numFmtId="0" fontId="0" fillId="0" borderId="0" xfId="0" applyBorder="1"/>
    <xf numFmtId="165" fontId="0" fillId="0" borderId="5" xfId="0" applyNumberFormat="1" applyBorder="1"/>
    <xf numFmtId="165" fontId="0" fillId="0" borderId="8" xfId="0" applyNumberFormat="1" applyBorder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>
                <a:effectLst/>
              </a:rPr>
              <a:t>Δ</a:t>
            </a:r>
            <a:r>
              <a:rPr lang="en-ZA" sz="1400" b="0" i="0" u="none" strike="noStrike" baseline="0">
                <a:effectLst/>
              </a:rPr>
              <a:t>G of nitration of dimers at six nitration sites</a:t>
            </a:r>
            <a:r>
              <a:rPr lang="en-ZA" baseline="0"/>
              <a:t> with increasing temperature.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'Lvl1-Dimer'!$B$22</c:f>
              <c:strCache>
                <c:ptCount val="1"/>
                <c:pt idx="0">
                  <c:v>NC0_2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'Lvl1-Dimer'!$C$25:$G$25</c:f>
              <c:numCache>
                <c:formatCode>0.00000</c:formatCode>
                <c:ptCount val="5"/>
                <c:pt idx="0">
                  <c:v>-1.2114000000110536E-2</c:v>
                </c:pt>
                <c:pt idx="1">
                  <c:v>-1.0373999999956141E-2</c:v>
                </c:pt>
                <c:pt idx="2">
                  <c:v>-5.7200000001103035E-3</c:v>
                </c:pt>
                <c:pt idx="3">
                  <c:v>-5.6309999999939464E-3</c:v>
                </c:pt>
                <c:pt idx="4">
                  <c:v>6.8699999997079431E-4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2-46AE-BFF6-A8CCA3570ACF}"/>
            </c:ext>
          </c:extLst>
        </c:ser>
        <c:ser>
          <c:idx val="1"/>
          <c:order val="1"/>
          <c:tx>
            <c:strRef>
              <c:f>'Lvl1-Dimer'!$B$28</c:f>
              <c:strCache>
                <c:ptCount val="1"/>
                <c:pt idx="0">
                  <c:v>NC0_3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'Lvl1-Dimer'!$C$30:$G$30</c:f>
              <c:numCache>
                <c:formatCode>0.00000</c:formatCode>
                <c:ptCount val="5"/>
                <c:pt idx="0">
                  <c:v>-1.3834999999971842E-2</c:v>
                </c:pt>
                <c:pt idx="1">
                  <c:v>-1.1529999999993379E-2</c:v>
                </c:pt>
                <c:pt idx="2">
                  <c:v>-5.3780000000642758E-3</c:v>
                </c:pt>
                <c:pt idx="3">
                  <c:v>-5.2600000001348235E-3</c:v>
                </c:pt>
                <c:pt idx="4">
                  <c:v>3.0930000000353175E-3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F2-46AE-BFF6-A8CCA3570ACF}"/>
            </c:ext>
          </c:extLst>
        </c:ser>
        <c:ser>
          <c:idx val="2"/>
          <c:order val="2"/>
          <c:tx>
            <c:strRef>
              <c:f>'Lvl1-Dimer'!$B$33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'Lvl1-Dimer'!$C$35:$G$35</c:f>
              <c:numCache>
                <c:formatCode>0.00000</c:formatCode>
                <c:ptCount val="5"/>
                <c:pt idx="0">
                  <c:v>-1.7947000000049229E-2</c:v>
                </c:pt>
                <c:pt idx="1">
                  <c:v>-1.6059999999924912E-2</c:v>
                </c:pt>
                <c:pt idx="2">
                  <c:v>-1.0945000000219807E-2</c:v>
                </c:pt>
                <c:pt idx="3">
                  <c:v>-1.0911000000078275E-2</c:v>
                </c:pt>
                <c:pt idx="4">
                  <c:v>-3.9409999997133127E-3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F2-46AE-BFF6-A8CCA3570ACF}"/>
            </c:ext>
          </c:extLst>
        </c:ser>
        <c:ser>
          <c:idx val="3"/>
          <c:order val="3"/>
          <c:tx>
            <c:strRef>
              <c:f>'Lvl1-Dimer'!$B$33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'Lvl1-Dimer'!$C$35:$G$35</c:f>
              <c:numCache>
                <c:formatCode>0.00000</c:formatCode>
                <c:ptCount val="5"/>
                <c:pt idx="0">
                  <c:v>-1.7947000000049229E-2</c:v>
                </c:pt>
                <c:pt idx="1">
                  <c:v>-1.6059999999924912E-2</c:v>
                </c:pt>
                <c:pt idx="2">
                  <c:v>-1.0945000000219807E-2</c:v>
                </c:pt>
                <c:pt idx="3">
                  <c:v>-1.0911000000078275E-2</c:v>
                </c:pt>
                <c:pt idx="4">
                  <c:v>-3.9409999997133127E-3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F2-46AE-BFF6-A8CCA3570ACF}"/>
            </c:ext>
          </c:extLst>
        </c:ser>
        <c:ser>
          <c:idx val="4"/>
          <c:order val="4"/>
          <c:tx>
            <c:strRef>
              <c:f>'Lvl1-Dimer'!$B$38</c:f>
              <c:strCache>
                <c:ptCount val="1"/>
                <c:pt idx="0">
                  <c:v>NC2_0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'Lvl1-Dimer'!$C$40:$G$40</c:f>
              <c:numCache>
                <c:formatCode>0.00000</c:formatCode>
                <c:ptCount val="5"/>
                <c:pt idx="0">
                  <c:v>-5.4979999999886786E-3</c:v>
                </c:pt>
                <c:pt idx="1">
                  <c:v>-3.5880000000361179E-3</c:v>
                </c:pt>
                <c:pt idx="2">
                  <c:v>1.4469999998709682E-3</c:v>
                </c:pt>
                <c:pt idx="3">
                  <c:v>1.5409999998610147E-3</c:v>
                </c:pt>
                <c:pt idx="4">
                  <c:v>8.2920000002104643E-3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F2-46AE-BFF6-A8CCA3570ACF}"/>
            </c:ext>
          </c:extLst>
        </c:ser>
        <c:ser>
          <c:idx val="5"/>
          <c:order val="5"/>
          <c:tx>
            <c:strRef>
              <c:f>'Lvl1-Dimer'!$B$43</c:f>
              <c:strCache>
                <c:ptCount val="1"/>
                <c:pt idx="0">
                  <c:v>NC3_0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'Lvl1-Dimer'!$C$45:$G$45</c:f>
              <c:numCache>
                <c:formatCode>0.00000</c:formatCode>
                <c:ptCount val="5"/>
                <c:pt idx="0">
                  <c:v>-6.0969999999542779E-3</c:v>
                </c:pt>
                <c:pt idx="1">
                  <c:v>-4.4070000001283915E-3</c:v>
                </c:pt>
                <c:pt idx="2">
                  <c:v>4.2999999777748599E-5</c:v>
                </c:pt>
                <c:pt idx="3">
                  <c:v>1.2699999979304266E-4</c:v>
                </c:pt>
                <c:pt idx="4">
                  <c:v>6.0860000000957371E-3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F2-46AE-BFF6-A8CCA3570ACF}"/>
            </c:ext>
          </c:extLst>
        </c:ser>
        <c:ser>
          <c:idx val="6"/>
          <c:order val="6"/>
          <c:tx>
            <c:strRef>
              <c:f>'Lvl1-Dimer'!$B$48</c:f>
              <c:strCache>
                <c:ptCount val="1"/>
                <c:pt idx="0">
                  <c:v>NC6_0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'Lvl1-Dimer'!$C$50:$G$50</c:f>
              <c:numCache>
                <c:formatCode>0.00000</c:formatCode>
                <c:ptCount val="5"/>
                <c:pt idx="0">
                  <c:v>-1.6007000000172411E-2</c:v>
                </c:pt>
                <c:pt idx="1">
                  <c:v>-1.4147999999977401E-2</c:v>
                </c:pt>
                <c:pt idx="2">
                  <c:v>-9.1670000001613516E-3</c:v>
                </c:pt>
                <c:pt idx="3">
                  <c:v>-9.0720000000601431E-3</c:v>
                </c:pt>
                <c:pt idx="4">
                  <c:v>-2.2940000001199223E-3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6F2-46AE-BFF6-A8CCA357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16624"/>
        <c:axId val="200617184"/>
      </c:scatterChart>
      <c:valAx>
        <c:axId val="200616624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 /K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7184"/>
        <c:crosses val="autoZero"/>
        <c:crossBetween val="midCat"/>
      </c:valAx>
      <c:valAx>
        <c:axId val="20061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en-ZA" sz="1000" b="0" i="0" u="none" strike="noStrike" baseline="0">
                    <a:effectLst/>
                  </a:rPr>
                  <a:t>G /Hartree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6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Trend</a:t>
            </a:r>
            <a:r>
              <a:rPr lang="en-ZA" baseline="0"/>
              <a:t> in enegery differences with increasing temperature. (NOT the reaction)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'Lvl1-Dimer'!$B$7</c:f>
              <c:strCache>
                <c:ptCount val="1"/>
                <c:pt idx="0">
                  <c:v>Cellulose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'Lvl1-Dimer'!$J$7:$N$7</c:f>
              <c:numCache>
                <c:formatCode>0.00000</c:formatCode>
                <c:ptCount val="5"/>
                <c:pt idx="0">
                  <c:v>0</c:v>
                </c:pt>
                <c:pt idx="1">
                  <c:v>-7.9470000000583241E-3</c:v>
                </c:pt>
                <c:pt idx="2">
                  <c:v>-3.2877999999982421E-2</c:v>
                </c:pt>
                <c:pt idx="3">
                  <c:v>-3.3399000000144952E-2</c:v>
                </c:pt>
                <c:pt idx="4">
                  <c:v>-7.5577000000066619E-2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F6-4750-B5E7-6F25F3073302}"/>
            </c:ext>
          </c:extLst>
        </c:ser>
        <c:ser>
          <c:idx val="1"/>
          <c:order val="1"/>
          <c:tx>
            <c:strRef>
              <c:f>'Lvl1-Dimer'!$B$8</c:f>
              <c:strCache>
                <c:ptCount val="1"/>
                <c:pt idx="0">
                  <c:v>NO2+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'Lvl1-Dimer'!$J$8:$N$8</c:f>
              <c:numCache>
                <c:formatCode>0.00000</c:formatCode>
                <c:ptCount val="5"/>
                <c:pt idx="0">
                  <c:v>0</c:v>
                </c:pt>
                <c:pt idx="1">
                  <c:v>-2.7690000000006876E-3</c:v>
                </c:pt>
                <c:pt idx="2">
                  <c:v>-1.0501000000004979E-2</c:v>
                </c:pt>
                <c:pt idx="3">
                  <c:v>-1.0651999999993222E-2</c:v>
                </c:pt>
                <c:pt idx="4">
                  <c:v>-2.1852999999993017E-2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F6-4750-B5E7-6F25F3073302}"/>
            </c:ext>
          </c:extLst>
        </c:ser>
        <c:ser>
          <c:idx val="2"/>
          <c:order val="2"/>
          <c:tx>
            <c:strRef>
              <c:f>'Lvl1-Dimer'!$B$9</c:f>
              <c:strCache>
                <c:ptCount val="1"/>
                <c:pt idx="0">
                  <c:v>H2O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'Lvl1-Dimer'!$J$9:$N$9</c:f>
              <c:numCache>
                <c:formatCode>0.00000</c:formatCode>
                <c:ptCount val="5"/>
                <c:pt idx="0">
                  <c:v>0</c:v>
                </c:pt>
                <c:pt idx="1">
                  <c:v>-2.4230000000073915E-3</c:v>
                </c:pt>
                <c:pt idx="2">
                  <c:v>-9.2380000000105156E-3</c:v>
                </c:pt>
                <c:pt idx="3">
                  <c:v>-9.3710000000015725E-3</c:v>
                </c:pt>
                <c:pt idx="4">
                  <c:v>-1.9264000000006831E-2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F6-4750-B5E7-6F25F3073302}"/>
            </c:ext>
          </c:extLst>
        </c:ser>
        <c:ser>
          <c:idx val="3"/>
          <c:order val="3"/>
          <c:tx>
            <c:strRef>
              <c:f>'Lvl1-Dimer'!$B$10</c:f>
              <c:strCache>
                <c:ptCount val="1"/>
                <c:pt idx="0">
                  <c:v>H3O+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'Lvl1-Dimer'!$J$10:$N$10</c:f>
              <c:numCache>
                <c:formatCode>0.00000</c:formatCode>
                <c:ptCount val="5"/>
                <c:pt idx="0">
                  <c:v>0</c:v>
                </c:pt>
                <c:pt idx="1">
                  <c:v>-2.479999999991378E-3</c:v>
                </c:pt>
                <c:pt idx="2">
                  <c:v>-9.4589999999925567E-3</c:v>
                </c:pt>
                <c:pt idx="3">
                  <c:v>-9.5949999999902502E-3</c:v>
                </c:pt>
                <c:pt idx="4">
                  <c:v>-1.9766999999987434E-2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F6-4750-B5E7-6F25F3073302}"/>
            </c:ext>
          </c:extLst>
        </c:ser>
        <c:ser>
          <c:idx val="5"/>
          <c:order val="4"/>
          <c:tx>
            <c:strRef>
              <c:f>'Lvl1-Dimer'!$B$22</c:f>
              <c:strCache>
                <c:ptCount val="1"/>
                <c:pt idx="0">
                  <c:v>NC0_2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'Lvl1-Dimer'!$J$12:$N$12</c:f>
              <c:numCache>
                <c:formatCode>0.00000</c:formatCode>
                <c:ptCount val="5"/>
                <c:pt idx="0">
                  <c:v>0</c:v>
                </c:pt>
                <c:pt idx="1">
                  <c:v>-8.9189999998779967E-3</c:v>
                </c:pt>
                <c:pt idx="2">
                  <c:v>-3.6763999999948282E-2</c:v>
                </c:pt>
                <c:pt idx="3">
                  <c:v>-3.7343999999848165E-2</c:v>
                </c:pt>
                <c:pt idx="4">
                  <c:v>-8.4125999999969281E-2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F6-4750-B5E7-6F25F3073302}"/>
            </c:ext>
          </c:extLst>
        </c:ser>
        <c:ser>
          <c:idx val="6"/>
          <c:order val="5"/>
          <c:tx>
            <c:strRef>
              <c:f>'Lvl1-Dimer'!$B$28</c:f>
              <c:strCache>
                <c:ptCount val="1"/>
                <c:pt idx="0">
                  <c:v>NC0_3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'Lvl1-Dimer'!$J$13:$N$13</c:f>
              <c:numCache>
                <c:formatCode>0.00000</c:formatCode>
                <c:ptCount val="5"/>
                <c:pt idx="0">
                  <c:v>0</c:v>
                </c:pt>
                <c:pt idx="1">
                  <c:v>-8.3540000000539294E-3</c:v>
                </c:pt>
                <c:pt idx="2">
                  <c:v>-3.4701000000040949E-2</c:v>
                </c:pt>
                <c:pt idx="3">
                  <c:v>-3.5252000000127737E-2</c:v>
                </c:pt>
                <c:pt idx="4">
                  <c:v>-7.9999000000043452E-2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F6-4750-B5E7-6F25F3073302}"/>
            </c:ext>
          </c:extLst>
        </c:ser>
        <c:ser>
          <c:idx val="7"/>
          <c:order val="6"/>
          <c:tx>
            <c:strRef>
              <c:f>'Lvl1-Dimer'!$B$33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'Lvl1-Dimer'!$J$14:$N$14</c:f>
              <c:numCache>
                <c:formatCode>0.00000</c:formatCode>
                <c:ptCount val="5"/>
                <c:pt idx="0">
                  <c:v>0</c:v>
                </c:pt>
                <c:pt idx="1">
                  <c:v>-8.7719999999080756E-3</c:v>
                </c:pt>
                <c:pt idx="2">
                  <c:v>-3.6156000000119093E-2</c:v>
                </c:pt>
                <c:pt idx="3">
                  <c:v>-3.6790999999993801E-2</c:v>
                </c:pt>
                <c:pt idx="4">
                  <c:v>-8.2920999999942069E-2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F6-4750-B5E7-6F25F3073302}"/>
            </c:ext>
          </c:extLst>
        </c:ser>
        <c:ser>
          <c:idx val="8"/>
          <c:order val="7"/>
          <c:tx>
            <c:strRef>
              <c:f>'Lvl1-Dimer'!$B$38</c:f>
              <c:strCache>
                <c:ptCount val="1"/>
                <c:pt idx="0">
                  <c:v>NC2_0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'Lvl1-Dimer'!$J$15:$N$15</c:f>
              <c:numCache>
                <c:formatCode>0.00000</c:formatCode>
                <c:ptCount val="5"/>
                <c:pt idx="0">
                  <c:v>0</c:v>
                </c:pt>
                <c:pt idx="1">
                  <c:v>-8.7490000000798318E-3</c:v>
                </c:pt>
                <c:pt idx="2">
                  <c:v>-3.6213000000088869E-2</c:v>
                </c:pt>
                <c:pt idx="3">
                  <c:v>-3.6788000000115062E-2</c:v>
                </c:pt>
                <c:pt idx="4">
                  <c:v>-8.3137000000078842E-2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F6-4750-B5E7-6F25F3073302}"/>
            </c:ext>
          </c:extLst>
        </c:ser>
        <c:ser>
          <c:idx val="9"/>
          <c:order val="8"/>
          <c:tx>
            <c:strRef>
              <c:f>'Lvl1-Dimer'!$B$43</c:f>
              <c:strCache>
                <c:ptCount val="1"/>
                <c:pt idx="0">
                  <c:v>NC3_0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'Lvl1-Dimer'!$J$17:$N$17</c:f>
              <c:numCache>
                <c:formatCode>0.00000</c:formatCode>
                <c:ptCount val="5"/>
                <c:pt idx="0">
                  <c:v>0</c:v>
                </c:pt>
                <c:pt idx="1">
                  <c:v>-8.9690000002065062E-3</c:v>
                </c:pt>
                <c:pt idx="2">
                  <c:v>-3.7018000000216489E-2</c:v>
                </c:pt>
                <c:pt idx="3">
                  <c:v>-3.7603000000217435E-2</c:v>
                </c:pt>
                <c:pt idx="4">
                  <c:v>-8.4744000000000597E-2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F6-4750-B5E7-6F25F3073302}"/>
            </c:ext>
          </c:extLst>
        </c:ser>
        <c:ser>
          <c:idx val="10"/>
          <c:order val="9"/>
          <c:tx>
            <c:strRef>
              <c:f>'Lvl1-Dimer'!$B$48</c:f>
              <c:strCache>
                <c:ptCount val="1"/>
                <c:pt idx="0">
                  <c:v>NC6_0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'Lvl1-Dimer'!$J$18:$N$18</c:f>
              <c:numCache>
                <c:formatCode>0.00000</c:formatCode>
                <c:ptCount val="5"/>
                <c:pt idx="0">
                  <c:v>0</c:v>
                </c:pt>
                <c:pt idx="1">
                  <c:v>-8.7999999998373823E-3</c:v>
                </c:pt>
                <c:pt idx="2">
                  <c:v>-3.6317999999937456E-2</c:v>
                </c:pt>
                <c:pt idx="3">
                  <c:v>-3.6891999999852487E-2</c:v>
                </c:pt>
                <c:pt idx="4">
                  <c:v>-8.3213999999998123E-2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F6-4750-B5E7-6F25F3073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5024"/>
        <c:axId val="201187328"/>
      </c:scatterChart>
      <c:valAx>
        <c:axId val="200625024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87328"/>
        <c:crosses val="autoZero"/>
        <c:crossBetween val="midCat"/>
      </c:valAx>
      <c:valAx>
        <c:axId val="20118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1327646544182"/>
          <c:y val="0.85781803286248126"/>
          <c:w val="0.83586727467398736"/>
          <c:h val="0.14218196713751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>
                <a:effectLst/>
              </a:rPr>
              <a:t>Δ</a:t>
            </a:r>
            <a:r>
              <a:rPr lang="en-ZA" sz="1400" b="0" i="0" u="none" strike="noStrike" baseline="0">
                <a:effectLst/>
              </a:rPr>
              <a:t>G of nitration of </a:t>
            </a:r>
            <a:r>
              <a:rPr lang="en-ZA" baseline="0"/>
              <a:t>dimers at six nitration sites with increasing temperature.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'Lvl1-Dimer'!$B$22</c:f>
              <c:strCache>
                <c:ptCount val="1"/>
                <c:pt idx="0">
                  <c:v>NC0_2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'Lvl1-Dimer'!$C$25:$G$25</c:f>
              <c:numCache>
                <c:formatCode>0.00000</c:formatCode>
                <c:ptCount val="5"/>
                <c:pt idx="0">
                  <c:v>-1.2114000000110536E-2</c:v>
                </c:pt>
                <c:pt idx="1">
                  <c:v>-1.0373999999956141E-2</c:v>
                </c:pt>
                <c:pt idx="2">
                  <c:v>-5.7200000001103035E-3</c:v>
                </c:pt>
                <c:pt idx="3">
                  <c:v>-5.6309999999939464E-3</c:v>
                </c:pt>
                <c:pt idx="4">
                  <c:v>6.8699999997079431E-4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B-48C3-A553-ECB507EB5ED2}"/>
            </c:ext>
          </c:extLst>
        </c:ser>
        <c:ser>
          <c:idx val="1"/>
          <c:order val="1"/>
          <c:tx>
            <c:strRef>
              <c:f>'Lvl1-Dimer'!$B$28</c:f>
              <c:strCache>
                <c:ptCount val="1"/>
                <c:pt idx="0">
                  <c:v>NC0_3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'Lvl1-Dimer'!$C$30:$G$30</c:f>
              <c:numCache>
                <c:formatCode>0.00000</c:formatCode>
                <c:ptCount val="5"/>
                <c:pt idx="0">
                  <c:v>-1.3834999999971842E-2</c:v>
                </c:pt>
                <c:pt idx="1">
                  <c:v>-1.1529999999993379E-2</c:v>
                </c:pt>
                <c:pt idx="2">
                  <c:v>-5.3780000000642758E-3</c:v>
                </c:pt>
                <c:pt idx="3">
                  <c:v>-5.2600000001348235E-3</c:v>
                </c:pt>
                <c:pt idx="4">
                  <c:v>3.0930000000353175E-3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B-48C3-A553-ECB507EB5ED2}"/>
            </c:ext>
          </c:extLst>
        </c:ser>
        <c:ser>
          <c:idx val="2"/>
          <c:order val="2"/>
          <c:tx>
            <c:strRef>
              <c:f>'Lvl1-Dimer'!$B$33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'Lvl1-Dimer'!$C$35:$G$35</c:f>
              <c:numCache>
                <c:formatCode>0.00000</c:formatCode>
                <c:ptCount val="5"/>
                <c:pt idx="0">
                  <c:v>-1.7947000000049229E-2</c:v>
                </c:pt>
                <c:pt idx="1">
                  <c:v>-1.6059999999924912E-2</c:v>
                </c:pt>
                <c:pt idx="2">
                  <c:v>-1.0945000000219807E-2</c:v>
                </c:pt>
                <c:pt idx="3">
                  <c:v>-1.0911000000078275E-2</c:v>
                </c:pt>
                <c:pt idx="4">
                  <c:v>-3.9409999997133127E-3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6B-48C3-A553-ECB507EB5ED2}"/>
            </c:ext>
          </c:extLst>
        </c:ser>
        <c:ser>
          <c:idx val="3"/>
          <c:order val="3"/>
          <c:tx>
            <c:strRef>
              <c:f>'Lvl1-Dimer'!$B$33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'Lvl1-Dimer'!$C$35:$G$35</c:f>
              <c:numCache>
                <c:formatCode>0.00000</c:formatCode>
                <c:ptCount val="5"/>
                <c:pt idx="0">
                  <c:v>-1.7947000000049229E-2</c:v>
                </c:pt>
                <c:pt idx="1">
                  <c:v>-1.6059999999924912E-2</c:v>
                </c:pt>
                <c:pt idx="2">
                  <c:v>-1.0945000000219807E-2</c:v>
                </c:pt>
                <c:pt idx="3">
                  <c:v>-1.0911000000078275E-2</c:v>
                </c:pt>
                <c:pt idx="4">
                  <c:v>-3.9409999997133127E-3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6B-48C3-A553-ECB507EB5ED2}"/>
            </c:ext>
          </c:extLst>
        </c:ser>
        <c:ser>
          <c:idx val="4"/>
          <c:order val="4"/>
          <c:tx>
            <c:strRef>
              <c:f>'Lvl1-Dimer'!$B$38</c:f>
              <c:strCache>
                <c:ptCount val="1"/>
                <c:pt idx="0">
                  <c:v>NC2_0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'Lvl1-Dimer'!$C$40:$G$40</c:f>
              <c:numCache>
                <c:formatCode>0.00000</c:formatCode>
                <c:ptCount val="5"/>
                <c:pt idx="0">
                  <c:v>-5.4979999999886786E-3</c:v>
                </c:pt>
                <c:pt idx="1">
                  <c:v>-3.5880000000361179E-3</c:v>
                </c:pt>
                <c:pt idx="2">
                  <c:v>1.4469999998709682E-3</c:v>
                </c:pt>
                <c:pt idx="3">
                  <c:v>1.5409999998610147E-3</c:v>
                </c:pt>
                <c:pt idx="4">
                  <c:v>8.2920000002104643E-3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6B-48C3-A553-ECB507EB5ED2}"/>
            </c:ext>
          </c:extLst>
        </c:ser>
        <c:ser>
          <c:idx val="5"/>
          <c:order val="5"/>
          <c:tx>
            <c:strRef>
              <c:f>'Lvl1-Dimer'!$B$43</c:f>
              <c:strCache>
                <c:ptCount val="1"/>
                <c:pt idx="0">
                  <c:v>NC3_0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'Lvl1-Dimer'!$C$45:$G$45</c:f>
              <c:numCache>
                <c:formatCode>0.00000</c:formatCode>
                <c:ptCount val="5"/>
                <c:pt idx="0">
                  <c:v>-6.0969999999542779E-3</c:v>
                </c:pt>
                <c:pt idx="1">
                  <c:v>-4.4070000001283915E-3</c:v>
                </c:pt>
                <c:pt idx="2">
                  <c:v>4.2999999777748599E-5</c:v>
                </c:pt>
                <c:pt idx="3">
                  <c:v>1.2699999979304266E-4</c:v>
                </c:pt>
                <c:pt idx="4">
                  <c:v>6.0860000000957371E-3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6B-48C3-A553-ECB507EB5ED2}"/>
            </c:ext>
          </c:extLst>
        </c:ser>
        <c:ser>
          <c:idx val="6"/>
          <c:order val="6"/>
          <c:tx>
            <c:strRef>
              <c:f>'Lvl1-Dimer'!$B$48</c:f>
              <c:strCache>
                <c:ptCount val="1"/>
                <c:pt idx="0">
                  <c:v>NC6_0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'Lvl1-Dimer'!$C$6:$G$6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'Lvl1-Dimer'!$C$50:$G$50</c:f>
              <c:numCache>
                <c:formatCode>0.00000</c:formatCode>
                <c:ptCount val="5"/>
                <c:pt idx="0">
                  <c:v>-1.6007000000172411E-2</c:v>
                </c:pt>
                <c:pt idx="1">
                  <c:v>-1.4147999999977401E-2</c:v>
                </c:pt>
                <c:pt idx="2">
                  <c:v>-9.1670000001613516E-3</c:v>
                </c:pt>
                <c:pt idx="3">
                  <c:v>-9.0720000000601431E-3</c:v>
                </c:pt>
                <c:pt idx="4">
                  <c:v>-2.2940000001199223E-3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56B-48C3-A553-ECB507EB5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93488"/>
        <c:axId val="201194048"/>
      </c:scatterChart>
      <c:valAx>
        <c:axId val="201193488"/>
        <c:scaling>
          <c:orientation val="minMax"/>
          <c:max val="325"/>
          <c:min val="2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Temperature /K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4048"/>
        <c:crosses val="autoZero"/>
        <c:crossBetween val="midCat"/>
      </c:valAx>
      <c:valAx>
        <c:axId val="201194048"/>
        <c:scaling>
          <c:orientation val="minMax"/>
          <c:max val="5.000000000000001E-3"/>
          <c:min val="-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en-ZA" sz="1000" b="0" i="0" u="none" strike="noStrike" baseline="0">
                    <a:effectLst/>
                  </a:rPr>
                  <a:t>G / Hatree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Trend</a:t>
            </a:r>
            <a:r>
              <a:rPr lang="en-ZA" baseline="0"/>
              <a:t> in enegery differences with increasing temperature.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6780979186727"/>
          <c:y val="0.20463976690799929"/>
          <c:w val="0.79930035540779609"/>
          <c:h val="0.683864960750004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'Lvl1-Dimer'!$B$7</c:f>
              <c:strCache>
                <c:ptCount val="1"/>
                <c:pt idx="0">
                  <c:v>Cellulose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'Lvl1-Dimer'!$J$7:$N$7</c:f>
              <c:numCache>
                <c:formatCode>0.00000</c:formatCode>
                <c:ptCount val="5"/>
                <c:pt idx="0">
                  <c:v>0</c:v>
                </c:pt>
                <c:pt idx="1">
                  <c:v>-7.9470000000583241E-3</c:v>
                </c:pt>
                <c:pt idx="2">
                  <c:v>-3.2877999999982421E-2</c:v>
                </c:pt>
                <c:pt idx="3">
                  <c:v>-3.3399000000144952E-2</c:v>
                </c:pt>
                <c:pt idx="4">
                  <c:v>-7.5577000000066619E-2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F-4B02-AF89-6CAECDB30119}"/>
            </c:ext>
          </c:extLst>
        </c:ser>
        <c:ser>
          <c:idx val="1"/>
          <c:order val="1"/>
          <c:tx>
            <c:strRef>
              <c:f>'Lvl1-Dimer'!$B$8</c:f>
              <c:strCache>
                <c:ptCount val="1"/>
                <c:pt idx="0">
                  <c:v>NO2+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'Lvl1-Dimer'!$J$8:$N$8</c:f>
              <c:numCache>
                <c:formatCode>0.00000</c:formatCode>
                <c:ptCount val="5"/>
                <c:pt idx="0">
                  <c:v>0</c:v>
                </c:pt>
                <c:pt idx="1">
                  <c:v>-2.7690000000006876E-3</c:v>
                </c:pt>
                <c:pt idx="2">
                  <c:v>-1.0501000000004979E-2</c:v>
                </c:pt>
                <c:pt idx="3">
                  <c:v>-1.0651999999993222E-2</c:v>
                </c:pt>
                <c:pt idx="4">
                  <c:v>-2.1852999999993017E-2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4F-4B02-AF89-6CAECDB30119}"/>
            </c:ext>
          </c:extLst>
        </c:ser>
        <c:ser>
          <c:idx val="2"/>
          <c:order val="2"/>
          <c:tx>
            <c:strRef>
              <c:f>'Lvl1-Dimer'!$B$9</c:f>
              <c:strCache>
                <c:ptCount val="1"/>
                <c:pt idx="0">
                  <c:v>H2O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'Lvl1-Dimer'!$J$9:$N$9</c:f>
              <c:numCache>
                <c:formatCode>0.00000</c:formatCode>
                <c:ptCount val="5"/>
                <c:pt idx="0">
                  <c:v>0</c:v>
                </c:pt>
                <c:pt idx="1">
                  <c:v>-2.4230000000073915E-3</c:v>
                </c:pt>
                <c:pt idx="2">
                  <c:v>-9.2380000000105156E-3</c:v>
                </c:pt>
                <c:pt idx="3">
                  <c:v>-9.3710000000015725E-3</c:v>
                </c:pt>
                <c:pt idx="4">
                  <c:v>-1.9264000000006831E-2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4F-4B02-AF89-6CAECDB30119}"/>
            </c:ext>
          </c:extLst>
        </c:ser>
        <c:ser>
          <c:idx val="3"/>
          <c:order val="3"/>
          <c:tx>
            <c:strRef>
              <c:f>'Lvl1-Dimer'!$B$10</c:f>
              <c:strCache>
                <c:ptCount val="1"/>
                <c:pt idx="0">
                  <c:v>H3O+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'Lvl1-Dimer'!$J$10:$N$10</c:f>
              <c:numCache>
                <c:formatCode>0.00000</c:formatCode>
                <c:ptCount val="5"/>
                <c:pt idx="0">
                  <c:v>0</c:v>
                </c:pt>
                <c:pt idx="1">
                  <c:v>-2.479999999991378E-3</c:v>
                </c:pt>
                <c:pt idx="2">
                  <c:v>-9.4589999999925567E-3</c:v>
                </c:pt>
                <c:pt idx="3">
                  <c:v>-9.5949999999902502E-3</c:v>
                </c:pt>
                <c:pt idx="4">
                  <c:v>-1.9766999999987434E-2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4F-4B02-AF89-6CAECDB30119}"/>
            </c:ext>
          </c:extLst>
        </c:ser>
        <c:ser>
          <c:idx val="5"/>
          <c:order val="4"/>
          <c:tx>
            <c:strRef>
              <c:f>'Lvl1-Dimer'!$B$22</c:f>
              <c:strCache>
                <c:ptCount val="1"/>
                <c:pt idx="0">
                  <c:v>NC0_2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'Lvl1-Dimer'!$J$12:$N$12</c:f>
              <c:numCache>
                <c:formatCode>0.00000</c:formatCode>
                <c:ptCount val="5"/>
                <c:pt idx="0">
                  <c:v>0</c:v>
                </c:pt>
                <c:pt idx="1">
                  <c:v>-8.9189999998779967E-3</c:v>
                </c:pt>
                <c:pt idx="2">
                  <c:v>-3.6763999999948282E-2</c:v>
                </c:pt>
                <c:pt idx="3">
                  <c:v>-3.7343999999848165E-2</c:v>
                </c:pt>
                <c:pt idx="4">
                  <c:v>-8.4125999999969281E-2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4F-4B02-AF89-6CAECDB30119}"/>
            </c:ext>
          </c:extLst>
        </c:ser>
        <c:ser>
          <c:idx val="6"/>
          <c:order val="5"/>
          <c:tx>
            <c:strRef>
              <c:f>'Lvl1-Dimer'!$B$28</c:f>
              <c:strCache>
                <c:ptCount val="1"/>
                <c:pt idx="0">
                  <c:v>NC0_3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'Lvl1-Dimer'!$J$13:$N$13</c:f>
              <c:numCache>
                <c:formatCode>0.00000</c:formatCode>
                <c:ptCount val="5"/>
                <c:pt idx="0">
                  <c:v>0</c:v>
                </c:pt>
                <c:pt idx="1">
                  <c:v>-8.3540000000539294E-3</c:v>
                </c:pt>
                <c:pt idx="2">
                  <c:v>-3.4701000000040949E-2</c:v>
                </c:pt>
                <c:pt idx="3">
                  <c:v>-3.5252000000127737E-2</c:v>
                </c:pt>
                <c:pt idx="4">
                  <c:v>-7.9999000000043452E-2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4F-4B02-AF89-6CAECDB30119}"/>
            </c:ext>
          </c:extLst>
        </c:ser>
        <c:ser>
          <c:idx val="7"/>
          <c:order val="6"/>
          <c:tx>
            <c:strRef>
              <c:f>'Lvl1-Dimer'!$B$33</c:f>
              <c:strCache>
                <c:ptCount val="1"/>
                <c:pt idx="0">
                  <c:v>NC0_6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'Lvl1-Dimer'!$J$14:$N$14</c:f>
              <c:numCache>
                <c:formatCode>0.00000</c:formatCode>
                <c:ptCount val="5"/>
                <c:pt idx="0">
                  <c:v>0</c:v>
                </c:pt>
                <c:pt idx="1">
                  <c:v>-8.7719999999080756E-3</c:v>
                </c:pt>
                <c:pt idx="2">
                  <c:v>-3.6156000000119093E-2</c:v>
                </c:pt>
                <c:pt idx="3">
                  <c:v>-3.6790999999993801E-2</c:v>
                </c:pt>
                <c:pt idx="4">
                  <c:v>-8.2920999999942069E-2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4F-4B02-AF89-6CAECDB30119}"/>
            </c:ext>
          </c:extLst>
        </c:ser>
        <c:ser>
          <c:idx val="8"/>
          <c:order val="7"/>
          <c:tx>
            <c:strRef>
              <c:f>'Lvl1-Dimer'!$B$38</c:f>
              <c:strCache>
                <c:ptCount val="1"/>
                <c:pt idx="0">
                  <c:v>NC2_0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'Lvl1-Dimer'!$J$15:$N$15</c:f>
              <c:numCache>
                <c:formatCode>0.00000</c:formatCode>
                <c:ptCount val="5"/>
                <c:pt idx="0">
                  <c:v>0</c:v>
                </c:pt>
                <c:pt idx="1">
                  <c:v>-8.7490000000798318E-3</c:v>
                </c:pt>
                <c:pt idx="2">
                  <c:v>-3.6213000000088869E-2</c:v>
                </c:pt>
                <c:pt idx="3">
                  <c:v>-3.6788000000115062E-2</c:v>
                </c:pt>
                <c:pt idx="4">
                  <c:v>-8.3137000000078842E-2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4F-4B02-AF89-6CAECDB30119}"/>
            </c:ext>
          </c:extLst>
        </c:ser>
        <c:ser>
          <c:idx val="9"/>
          <c:order val="8"/>
          <c:tx>
            <c:strRef>
              <c:f>'Lvl1-Dimer'!$B$43</c:f>
              <c:strCache>
                <c:ptCount val="1"/>
                <c:pt idx="0">
                  <c:v>NC3_0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'Lvl1-Dimer'!$J$17:$N$17</c:f>
              <c:numCache>
                <c:formatCode>0.00000</c:formatCode>
                <c:ptCount val="5"/>
                <c:pt idx="0">
                  <c:v>0</c:v>
                </c:pt>
                <c:pt idx="1">
                  <c:v>-8.9690000002065062E-3</c:v>
                </c:pt>
                <c:pt idx="2">
                  <c:v>-3.7018000000216489E-2</c:v>
                </c:pt>
                <c:pt idx="3">
                  <c:v>-3.7603000000217435E-2</c:v>
                </c:pt>
                <c:pt idx="4">
                  <c:v>-8.4744000000000597E-2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4F-4B02-AF89-6CAECDB30119}"/>
            </c:ext>
          </c:extLst>
        </c:ser>
        <c:ser>
          <c:idx val="10"/>
          <c:order val="9"/>
          <c:tx>
            <c:strRef>
              <c:f>'Lvl1-Dimer'!$B$48</c:f>
              <c:strCache>
                <c:ptCount val="1"/>
                <c:pt idx="0">
                  <c:v>NC6_0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'Lvl1-Dimer'!$J$6:$N$6</c:f>
              <c:numCache>
                <c:formatCode>General</c:formatCode>
                <c:ptCount val="5"/>
                <c:pt idx="0">
                  <c:v>163</c:v>
                </c:pt>
                <c:pt idx="1">
                  <c:v>200</c:v>
                </c:pt>
                <c:pt idx="2">
                  <c:v>298</c:v>
                </c:pt>
                <c:pt idx="3">
                  <c:v>300</c:v>
                </c:pt>
                <c:pt idx="4">
                  <c:v>433</c:v>
                </c:pt>
              </c:numCache>
            </c:numRef>
          </c:xVal>
          <c:yVal>
            <c:numRef>
              <c:f>'Lvl1-Dimer'!$J$18:$N$18</c:f>
              <c:numCache>
                <c:formatCode>0.00000</c:formatCode>
                <c:ptCount val="5"/>
                <c:pt idx="0">
                  <c:v>0</c:v>
                </c:pt>
                <c:pt idx="1">
                  <c:v>-8.7999999998373823E-3</c:v>
                </c:pt>
                <c:pt idx="2">
                  <c:v>-3.6317999999937456E-2</c:v>
                </c:pt>
                <c:pt idx="3">
                  <c:v>-3.6891999999852487E-2</c:v>
                </c:pt>
                <c:pt idx="4">
                  <c:v>-8.3213999999998123E-2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4F-4B02-AF89-6CAECDB30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5024"/>
        <c:axId val="201187328"/>
      </c:scatterChart>
      <c:valAx>
        <c:axId val="200625024"/>
        <c:scaling>
          <c:orientation val="minMax"/>
          <c:max val="310"/>
          <c:min val="2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87328"/>
        <c:crosses val="autoZero"/>
        <c:crossBetween val="midCat"/>
      </c:valAx>
      <c:valAx>
        <c:axId val="201187328"/>
        <c:scaling>
          <c:orientation val="minMax"/>
          <c:max val="-7.0000000000000019E-3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1327646544182"/>
          <c:y val="0.91261519393409141"/>
          <c:w val="0.83586727467398736"/>
          <c:h val="8.7385086071736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09492563429571"/>
          <c:y val="0.19633552125878176"/>
          <c:w val="0.82557174103237096"/>
          <c:h val="0.7783489739880512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'Lvl2'!$J$4:$J$16</c:f>
              <c:strCache>
                <c:ptCount val="13"/>
                <c:pt idx="0">
                  <c:v>NC0_2-6</c:v>
                </c:pt>
                <c:pt idx="1">
                  <c:v>NC0_3-6</c:v>
                </c:pt>
                <c:pt idx="2">
                  <c:v>NC2_3</c:v>
                </c:pt>
                <c:pt idx="3">
                  <c:v>NC2_6</c:v>
                </c:pt>
                <c:pt idx="4">
                  <c:v>NC2-3_0</c:v>
                </c:pt>
                <c:pt idx="5">
                  <c:v>NC2-6_0</c:v>
                </c:pt>
                <c:pt idx="6">
                  <c:v>NC3_2</c:v>
                </c:pt>
                <c:pt idx="7">
                  <c:v>NC3_3</c:v>
                </c:pt>
                <c:pt idx="8">
                  <c:v>NC3_6</c:v>
                </c:pt>
                <c:pt idx="9">
                  <c:v>NC3-6_0</c:v>
                </c:pt>
                <c:pt idx="10">
                  <c:v>NC6_2</c:v>
                </c:pt>
                <c:pt idx="11">
                  <c:v>NC6_3</c:v>
                </c:pt>
                <c:pt idx="12">
                  <c:v>NC6_6</c:v>
                </c:pt>
              </c:strCache>
            </c:strRef>
          </c:cat>
          <c:val>
            <c:numRef>
              <c:f>'Lvl2'!$K$4:$K$16</c:f>
              <c:numCache>
                <c:formatCode>0.00000</c:formatCode>
                <c:ptCount val="13"/>
                <c:pt idx="0">
                  <c:v>-1784.7794610000001</c:v>
                </c:pt>
                <c:pt idx="1">
                  <c:v>-1784.7793999999999</c:v>
                </c:pt>
                <c:pt idx="2">
                  <c:v>-1784.7716800000001</c:v>
                </c:pt>
                <c:pt idx="3">
                  <c:v>-1784.775365</c:v>
                </c:pt>
                <c:pt idx="4">
                  <c:v>-1784.7687020000001</c:v>
                </c:pt>
                <c:pt idx="5">
                  <c:v>-1784.7719050000001</c:v>
                </c:pt>
                <c:pt idx="6">
                  <c:v>-1784.772757</c:v>
                </c:pt>
                <c:pt idx="7">
                  <c:v>-1784.7744339999999</c:v>
                </c:pt>
                <c:pt idx="8">
                  <c:v>-1784.777368</c:v>
                </c:pt>
                <c:pt idx="9">
                  <c:v>-1784.7721389999999</c:v>
                </c:pt>
                <c:pt idx="10">
                  <c:v>-1784.7702589999999</c:v>
                </c:pt>
                <c:pt idx="11">
                  <c:v>-1784.774958</c:v>
                </c:pt>
                <c:pt idx="12">
                  <c:v>-1784.779184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0-4B7E-A04A-DD1AC0463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493272"/>
        <c:axId val="587493600"/>
      </c:lineChart>
      <c:catAx>
        <c:axId val="58749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93600"/>
        <c:crosses val="autoZero"/>
        <c:auto val="1"/>
        <c:lblAlgn val="ctr"/>
        <c:lblOffset val="100"/>
        <c:noMultiLvlLbl val="0"/>
      </c:catAx>
      <c:valAx>
        <c:axId val="58749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93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'Lvl3'!$H$12:$H$30</c:f>
              <c:strCache>
                <c:ptCount val="19"/>
                <c:pt idx="0">
                  <c:v>NC0_632</c:v>
                </c:pt>
                <c:pt idx="1">
                  <c:v>NC2_2-3</c:v>
                </c:pt>
                <c:pt idx="2">
                  <c:v>NC2_62</c:v>
                </c:pt>
                <c:pt idx="3">
                  <c:v>NC2_63</c:v>
                </c:pt>
                <c:pt idx="4">
                  <c:v>NC2-3_2</c:v>
                </c:pt>
                <c:pt idx="5">
                  <c:v>NC2-3_3</c:v>
                </c:pt>
                <c:pt idx="6">
                  <c:v>NC2-3_6</c:v>
                </c:pt>
                <c:pt idx="7">
                  <c:v>NC2-3-6_0</c:v>
                </c:pt>
                <c:pt idx="8">
                  <c:v>NC2-6_2</c:v>
                </c:pt>
                <c:pt idx="9">
                  <c:v>NC2-6_6</c:v>
                </c:pt>
                <c:pt idx="10">
                  <c:v>NC3_2-3</c:v>
                </c:pt>
                <c:pt idx="11">
                  <c:v>NC3_3-6</c:v>
                </c:pt>
                <c:pt idx="12">
                  <c:v>NC3_62</c:v>
                </c:pt>
                <c:pt idx="13">
                  <c:v>NC3-6_2</c:v>
                </c:pt>
                <c:pt idx="14">
                  <c:v>NC3-6_3</c:v>
                </c:pt>
                <c:pt idx="15">
                  <c:v>NC3-6_6</c:v>
                </c:pt>
                <c:pt idx="16">
                  <c:v>NC6_2-3</c:v>
                </c:pt>
                <c:pt idx="17">
                  <c:v>NC6_62</c:v>
                </c:pt>
                <c:pt idx="18">
                  <c:v>NC6_63</c:v>
                </c:pt>
              </c:strCache>
            </c:strRef>
          </c:cat>
          <c:val>
            <c:numRef>
              <c:f>'Lvl3'!$I$12:$I$30</c:f>
              <c:numCache>
                <c:formatCode>0.00000</c:formatCode>
                <c:ptCount val="19"/>
                <c:pt idx="0">
                  <c:v>-1989.1967030000001</c:v>
                </c:pt>
                <c:pt idx="1">
                  <c:v>-1989.187887</c:v>
                </c:pt>
                <c:pt idx="2">
                  <c:v>-1989.195518</c:v>
                </c:pt>
                <c:pt idx="3">
                  <c:v>-1989.196899</c:v>
                </c:pt>
                <c:pt idx="4">
                  <c:v>-1989.185324</c:v>
                </c:pt>
                <c:pt idx="5">
                  <c:v>-1989.1909330000001</c:v>
                </c:pt>
                <c:pt idx="6">
                  <c:v>-1989.1920250000001</c:v>
                </c:pt>
                <c:pt idx="7">
                  <c:v>-1989.192444</c:v>
                </c:pt>
                <c:pt idx="8">
                  <c:v>-1989.1915670000001</c:v>
                </c:pt>
                <c:pt idx="9">
                  <c:v>-1989.198333</c:v>
                </c:pt>
                <c:pt idx="10">
                  <c:v>-1989.18903</c:v>
                </c:pt>
                <c:pt idx="11">
                  <c:v>-1989.196702</c:v>
                </c:pt>
                <c:pt idx="12">
                  <c:v>-1989.1954599999999</c:v>
                </c:pt>
                <c:pt idx="13">
                  <c:v>-1989.1875259999999</c:v>
                </c:pt>
                <c:pt idx="14">
                  <c:v>-1989.192299</c:v>
                </c:pt>
                <c:pt idx="15">
                  <c:v>-1989.1985299999999</c:v>
                </c:pt>
                <c:pt idx="16">
                  <c:v>-1989.190419</c:v>
                </c:pt>
                <c:pt idx="17">
                  <c:v>-1989.198079</c:v>
                </c:pt>
                <c:pt idx="18">
                  <c:v>-1989.1975460000001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7-4B88-B6E4-A3404A8BE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925904"/>
        <c:axId val="835920984"/>
      </c:lineChart>
      <c:catAx>
        <c:axId val="83592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20984"/>
        <c:crosses val="autoZero"/>
        <c:auto val="1"/>
        <c:lblAlgn val="ctr"/>
        <c:lblOffset val="100"/>
        <c:noMultiLvlLbl val="0"/>
      </c:catAx>
      <c:valAx>
        <c:axId val="83592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2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'Lvl4'!$H$9:$H$21</c:f>
              <c:strCache>
                <c:ptCount val="13"/>
                <c:pt idx="0">
                  <c:v>NC2_2-3-6</c:v>
                </c:pt>
                <c:pt idx="1">
                  <c:v>NC2-3_2-3</c:v>
                </c:pt>
                <c:pt idx="2">
                  <c:v>NC2-3_2-6</c:v>
                </c:pt>
                <c:pt idx="3">
                  <c:v>NC2-3_3-6</c:v>
                </c:pt>
                <c:pt idx="4">
                  <c:v>NC2-3-6_2</c:v>
                </c:pt>
                <c:pt idx="5">
                  <c:v>NC2-3-6_6</c:v>
                </c:pt>
                <c:pt idx="6">
                  <c:v>NC2-6_2-3</c:v>
                </c:pt>
                <c:pt idx="7">
                  <c:v>NC2-6_3-6</c:v>
                </c:pt>
                <c:pt idx="8">
                  <c:v>NC3_2-3-6</c:v>
                </c:pt>
                <c:pt idx="9">
                  <c:v>NC3-6_2-3</c:v>
                </c:pt>
                <c:pt idx="10">
                  <c:v>NC6_2-3-6</c:v>
                </c:pt>
                <c:pt idx="11">
                  <c:v>NC2-6_3-6</c:v>
                </c:pt>
                <c:pt idx="12">
                  <c:v>NC3-6_3-6</c:v>
                </c:pt>
              </c:strCache>
            </c:strRef>
          </c:cat>
          <c:val>
            <c:numRef>
              <c:f>'Lvl4'!$I$9:$I$21</c:f>
              <c:numCache>
                <c:formatCode>General</c:formatCode>
                <c:ptCount val="13"/>
                <c:pt idx="0">
                  <c:v>-2193.6107050000001</c:v>
                </c:pt>
                <c:pt idx="1">
                  <c:v>-2193.6062149999998</c:v>
                </c:pt>
                <c:pt idx="2">
                  <c:v>-2193.6090570000001</c:v>
                </c:pt>
                <c:pt idx="3">
                  <c:v>-2193.6125280000001</c:v>
                </c:pt>
                <c:pt idx="4">
                  <c:v>-2193.6069130000001</c:v>
                </c:pt>
                <c:pt idx="5">
                  <c:v>-2193.6146210000002</c:v>
                </c:pt>
                <c:pt idx="6">
                  <c:v>-2193.607434</c:v>
                </c:pt>
                <c:pt idx="7">
                  <c:v>-2193.6136069999998</c:v>
                </c:pt>
                <c:pt idx="8">
                  <c:v>-2193.6147510000001</c:v>
                </c:pt>
                <c:pt idx="9">
                  <c:v>-2193.6107950000001</c:v>
                </c:pt>
                <c:pt idx="10">
                  <c:v>-2193.615135</c:v>
                </c:pt>
                <c:pt idx="11">
                  <c:v>-2193.6139920000001</c:v>
                </c:pt>
                <c:pt idx="12">
                  <c:v>-2193.6138110000002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A-4760-85A8-C928FD06C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548040"/>
        <c:axId val="585542792"/>
      </c:lineChart>
      <c:catAx>
        <c:axId val="58554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42792"/>
        <c:crosses val="autoZero"/>
        <c:auto val="1"/>
        <c:lblAlgn val="ctr"/>
        <c:lblOffset val="100"/>
        <c:noMultiLvlLbl val="0"/>
      </c:catAx>
      <c:valAx>
        <c:axId val="5855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54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</a:t>
            </a:r>
            <a:r>
              <a:rPr lang="en-GB"/>
              <a:t>G Denitraiton of NC3_3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'Lvl5'!$E$23:$E$26</c:f>
              <c:strCache>
                <c:ptCount val="4"/>
                <c:pt idx="0">
                  <c:v>NC2-3-6_2-3</c:v>
                </c:pt>
                <c:pt idx="1">
                  <c:v>NC2-3-6_2-6</c:v>
                </c:pt>
                <c:pt idx="2">
                  <c:v>NC2-3_2-3-6</c:v>
                </c:pt>
                <c:pt idx="3">
                  <c:v>NC2-6_2-3-6</c:v>
                </c:pt>
              </c:strCache>
            </c:strRef>
          </c:cat>
          <c:val>
            <c:numRef>
              <c:f>'Lvl5'!$J$23:$J$28</c:f>
              <c:numCache>
                <c:formatCode>0.000000</c:formatCode>
                <c:ptCount val="6"/>
                <c:pt idx="0">
                  <c:v>3.7790000005770708E-3</c:v>
                </c:pt>
                <c:pt idx="1">
                  <c:v>1.0040000006483751E-3</c:v>
                </c:pt>
                <c:pt idx="2">
                  <c:v>2.7810000005956681E-3</c:v>
                </c:pt>
                <c:pt idx="3">
                  <c:v>4.7800000038478174E-4</c:v>
                </c:pt>
                <c:pt idx="4">
                  <c:v>-2.6579999994282844E-3</c:v>
                </c:pt>
                <c:pt idx="5">
                  <c:v>-2.122999999755848E-3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1-40F0-8CEC-12FAA5BB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3842720"/>
        <c:axId val="983837800"/>
      </c:barChart>
      <c:catAx>
        <c:axId val="9838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37800"/>
        <c:crosses val="autoZero"/>
        <c:auto val="1"/>
        <c:lblAlgn val="ctr"/>
        <c:lblOffset val="100"/>
        <c:noMultiLvlLbl val="0"/>
      </c:catAx>
      <c:valAx>
        <c:axId val="98383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4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'Lvl5'!$I$46:$I$51</c:f>
              <c:strCache>
                <c:ptCount val="6"/>
                <c:pt idx="0">
                  <c:v>NC2-3_2-3-6</c:v>
                </c:pt>
                <c:pt idx="1">
                  <c:v>NC2-3-6_2-3</c:v>
                </c:pt>
                <c:pt idx="2">
                  <c:v>NC2-3-6_2-6</c:v>
                </c:pt>
                <c:pt idx="3">
                  <c:v>NC2-3-6_3-6</c:v>
                </c:pt>
                <c:pt idx="4">
                  <c:v>NC2-6_2-3-6</c:v>
                </c:pt>
                <c:pt idx="5">
                  <c:v>NC3-6_2-3-6</c:v>
                </c:pt>
              </c:strCache>
            </c:strRef>
          </c:cat>
          <c:val>
            <c:numRef>
              <c:f>'Lvl5'!$J$46:$J$51</c:f>
              <c:numCache>
                <c:formatCode>0.000000</c:formatCode>
                <c:ptCount val="6"/>
                <c:pt idx="0">
                  <c:v>-2398.0272639999998</c:v>
                </c:pt>
                <c:pt idx="1">
                  <c:v>-2398.0262659999999</c:v>
                </c:pt>
                <c:pt idx="2">
                  <c:v>-2398.0290409999998</c:v>
                </c:pt>
                <c:pt idx="3">
                  <c:v>-2398.0327029999999</c:v>
                </c:pt>
                <c:pt idx="4">
                  <c:v>-2398.029567</c:v>
                </c:pt>
                <c:pt idx="5">
                  <c:v>-2398.0321680000002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9-4FCE-8AA4-D66A3928E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033200"/>
        <c:axId val="833041400"/>
      </c:lineChart>
      <c:catAx>
        <c:axId val="83303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41400"/>
        <c:crosses val="autoZero"/>
        <c:auto val="1"/>
        <c:lblAlgn val="ctr"/>
        <c:lblOffset val="100"/>
        <c:noMultiLvlLbl val="0"/>
      </c:catAx>
      <c:valAx>
        <c:axId val="83304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03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661145</xdr:colOff>
      <xdr:row>23</xdr:row>
      <xdr:rowOff>13247</xdr:rowOff>
    </xdr:from>
    <xdr:to>
      <xdr:col>17</xdr:col>
      <xdr:colOff>529231</xdr:colOff>
      <xdr:row>44</xdr:row>
      <xdr:rowOff>52027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4C69E-98A6-4C48-BBBF-6FB86D13F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1759</xdr:colOff>
      <xdr:row>1</xdr:row>
      <xdr:rowOff>56029</xdr:rowOff>
    </xdr:from>
    <xdr:to>
      <xdr:col>20</xdr:col>
      <xdr:colOff>0</xdr:colOff>
      <xdr:row>20</xdr:row>
      <xdr:rowOff>122358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601EC2-4A39-4423-BAEA-7DFCFDA22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672352</xdr:colOff>
      <xdr:row>47</xdr:row>
      <xdr:rowOff>11206</xdr:rowOff>
    </xdr:from>
    <xdr:to>
      <xdr:col>17</xdr:col>
      <xdr:colOff>537397</xdr:colOff>
      <xdr:row>68</xdr:row>
      <xdr:rowOff>49986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E8B28F-06DD-4983-ADF2-7578152BF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190500</xdr:colOff>
      <xdr:row>1</xdr:row>
      <xdr:rowOff>1</xdr:rowOff>
    </xdr:from>
    <xdr:to>
      <xdr:col>25</xdr:col>
      <xdr:colOff>352029</xdr:colOff>
      <xdr:row>19</xdr:row>
      <xdr:rowOff>132565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278FB8-D9FB-44CB-BEA3-222364AD4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364547</xdr:colOff>
      <xdr:row>17</xdr:row>
      <xdr:rowOff>162386</xdr:rowOff>
    </xdr:from>
    <xdr:to>
      <xdr:col>13</xdr:col>
      <xdr:colOff>224118</xdr:colOff>
      <xdr:row>33</xdr:row>
      <xdr:rowOff>15650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32A02-B517-4A04-BDB8-796DED08E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194236</xdr:colOff>
      <xdr:row>34</xdr:row>
      <xdr:rowOff>165596</xdr:rowOff>
    </xdr:from>
    <xdr:to>
      <xdr:col>8</xdr:col>
      <xdr:colOff>7471</xdr:colOff>
      <xdr:row>52</xdr:row>
      <xdr:rowOff>35327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38F809-44E1-4459-B03C-8DB239144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50530" y="6261596"/>
          <a:ext cx="2136588" cy="3097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31</xdr:row>
      <xdr:rowOff>148590</xdr:rowOff>
    </xdr:from>
    <xdr:to>
      <xdr:col>11</xdr:col>
      <xdr:colOff>99060</xdr:colOff>
      <xdr:row>46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5DB016-A9E3-484C-B3F6-59AFD9EC0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274326</xdr:colOff>
      <xdr:row>32</xdr:row>
      <xdr:rowOff>129905</xdr:rowOff>
    </xdr:from>
    <xdr:to>
      <xdr:col>10</xdr:col>
      <xdr:colOff>783153</xdr:colOff>
      <xdr:row>47</xdr:row>
      <xdr:rowOff>129905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CBBD1-F019-43D3-AA43-E3FBF32EC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3</xdr:row>
      <xdr:rowOff>106680</xdr:rowOff>
    </xdr:from>
    <xdr:to>
      <xdr:col>18</xdr:col>
      <xdr:colOff>228600</xdr:colOff>
      <xdr:row>18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3D7C5-8C61-4A19-AD1A-62C6ADF72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40341</xdr:colOff>
      <xdr:row>53</xdr:row>
      <xdr:rowOff>17930</xdr:rowOff>
    </xdr:from>
    <xdr:to>
      <xdr:col>12</xdr:col>
      <xdr:colOff>569258</xdr:colOff>
      <xdr:row>68</xdr:row>
      <xdr:rowOff>71718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B316E-517E-4C28-BEE2-D1621FEBA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800-000000000000}" autoFormatId="16" applyNumberFormats="0" applyBorderFormats="0" applyFontFormats="0" applyPatternFormats="0" applyAlignmentFormats="0" applyWidthHeightFormats="0">
  <queryTableRefresh nextId="6" unboundColumnsRight="2">
    <queryTableFields count="4">
      <queryTableField id="1" name="Column1.1" tableColumnId="1"/>
      <queryTableField id="2" name="Column1.2" tableColumnId="2"/>
      <queryTableField id="3" dataBound="0" tableColumnId="3"/>
      <queryTableField id="5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900-000001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.1" tableColumnId="1"/>
      <queryTableField id="2" name="Column1.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A00-000002000000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.1" tableColumnId="1"/>
      <queryTableField id="2" name="Column1.2" tableColumnId="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B00-000003000000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.1" tableColumnId="1"/>
      <queryTableField id="2" name="Column1.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vl5_Total_Energies__2" displayName="lvl5_Total_Energies__2" ref="A1:D85" tableType="queryTable" totalsRowShown="0">
  <autoFilter ref="A1:D85" xr:uid="{00000000-0009-0000-0100-000002000000}"/>
  <tableColumns count="4">
    <tableColumn id="1" xr3:uid="{00000000-0010-0000-0000-000001000000}" uniqueName="1" name="Column1" queryTableFieldId="1" dataDxfId="10"/>
    <tableColumn id="2" xr3:uid="{00000000-0010-0000-0000-000002000000}" uniqueName="2" name="Column2" queryTableFieldId="2" dataDxfId="9"/>
    <tableColumn id="3" xr3:uid="{00000000-0010-0000-0000-000003000000}" uniqueName="3" name="Column3" queryTableFieldId="3" dataDxfId="8"/>
    <tableColumn id="4" xr3:uid="{00000000-0010-0000-0000-000004000000}" uniqueName="4" name="Column4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otal_Energies_63_63_route" displayName="Total_Energies_63_63_route" ref="A1:B25" tableType="queryTable" totalsRowShown="0">
  <autoFilter ref="A1:B25" xr:uid="{00000000-0009-0000-0100-000003000000}"/>
  <tableColumns count="2">
    <tableColumn id="1" xr3:uid="{00000000-0010-0000-0100-000001000000}" uniqueName="1" name="Column1.1" queryTableFieldId="1" dataDxfId="7"/>
    <tableColumn id="2" xr3:uid="{00000000-0010-0000-0100-000002000000}" uniqueName="2" name="Column1.2" queryTableFieldId="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otal_Energies_NC3_3_hi" displayName="Total_Energies_NC3_3_hi" ref="A1:C14" tableType="queryTable" totalsRowShown="0">
  <autoFilter ref="A1:C14" xr:uid="{00000000-0009-0000-0100-000001000000}"/>
  <tableColumns count="3">
    <tableColumn id="1" xr3:uid="{00000000-0010-0000-0200-000001000000}" uniqueName="1" name="Column1.1" queryTableFieldId="1" dataDxfId="5"/>
    <tableColumn id="2" xr3:uid="{00000000-0010-0000-0200-000002000000}" uniqueName="2" name="Column1.2" queryTableFieldId="2" dataDxfId="4"/>
    <tableColumn id="3" xr3:uid="{00000000-0010-0000-0200-000003000000}" uniqueName="3" name="Column1.3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vl5_solv_Total_Energies__2" displayName="lvl5_solv_Total_Energies__2" ref="A1:C61" tableType="queryTable" totalsRowShown="0">
  <autoFilter ref="A1:C61" xr:uid="{00000000-0009-0000-0100-000004000000}"/>
  <tableColumns count="3">
    <tableColumn id="1" xr3:uid="{00000000-0010-0000-0300-000001000000}" uniqueName="1" name="Column1.1" queryTableFieldId="1" dataDxfId="2"/>
    <tableColumn id="2" xr3:uid="{00000000-0010-0000-0300-000002000000}" uniqueName="2" name="Column1.2" queryTableFieldId="2" dataDxfId="1"/>
    <tableColumn id="3" xr3:uid="{00000000-0010-0000-0300-000003000000}" uniqueName="3" name="Column1.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opLeftCell="B14" workbookViewId="0">
      <selection activeCell="G27" sqref="G27"/>
    </sheetView>
  </sheetViews>
  <sheetFormatPr defaultRowHeight="14.5" x14ac:dyDescent="0.35"/>
  <cols>
    <col min="1" max="1" width="37.81640625" bestFit="1" customWidth="1"/>
    <col min="2" max="2" width="12.26953125" bestFit="1" customWidth="1"/>
    <col min="7" max="7" width="9.26953125" bestFit="1" customWidth="1"/>
    <col min="9" max="9" width="14.26953125" customWidth="1"/>
    <col min="12" max="12" width="12.26953125" customWidth="1"/>
  </cols>
  <sheetData>
    <row r="1" spans="1:10" x14ac:dyDescent="0.35">
      <c r="A1" s="2" t="s">
        <v>88</v>
      </c>
      <c r="F1" t="s">
        <v>124</v>
      </c>
    </row>
    <row r="2" spans="1:10" x14ac:dyDescent="0.35">
      <c r="A2" s="41" t="s">
        <v>52</v>
      </c>
      <c r="B2" s="42"/>
      <c r="C2" s="43"/>
      <c r="G2" t="s">
        <v>125</v>
      </c>
    </row>
    <row r="3" spans="1:10" x14ac:dyDescent="0.35">
      <c r="A3" s="44" t="s">
        <v>39</v>
      </c>
      <c r="B3" s="45">
        <v>-2398.3977923799998</v>
      </c>
      <c r="C3" s="46" t="s">
        <v>60</v>
      </c>
    </row>
    <row r="4" spans="1:10" x14ac:dyDescent="0.35">
      <c r="A4" s="41" t="s">
        <v>40</v>
      </c>
      <c r="B4" s="42">
        <v>0.44326199999999999</v>
      </c>
      <c r="C4" s="43" t="s">
        <v>57</v>
      </c>
    </row>
    <row r="5" spans="1:10" x14ac:dyDescent="0.35">
      <c r="A5" s="44" t="s">
        <v>41</v>
      </c>
      <c r="B5" s="45">
        <v>0.48143000000000002</v>
      </c>
      <c r="C5" s="46"/>
    </row>
    <row r="6" spans="1:10" x14ac:dyDescent="0.35">
      <c r="A6" s="41" t="s">
        <v>42</v>
      </c>
      <c r="B6" s="42">
        <v>0.48237400000000002</v>
      </c>
      <c r="C6" s="43"/>
    </row>
    <row r="7" spans="1:10" x14ac:dyDescent="0.35">
      <c r="A7" s="44" t="s">
        <v>43</v>
      </c>
      <c r="B7" s="45">
        <v>0.36560799999999999</v>
      </c>
      <c r="C7" s="46"/>
    </row>
    <row r="8" spans="1:10" x14ac:dyDescent="0.35">
      <c r="A8" s="41" t="s">
        <v>44</v>
      </c>
      <c r="B8" s="42">
        <v>-2397.95453</v>
      </c>
      <c r="C8" s="43"/>
    </row>
    <row r="9" spans="1:10" x14ac:dyDescent="0.35">
      <c r="A9" s="44" t="s">
        <v>45</v>
      </c>
      <c r="B9" s="45">
        <v>-2397.9163619999999</v>
      </c>
      <c r="C9" s="46"/>
    </row>
    <row r="10" spans="1:10" x14ac:dyDescent="0.35">
      <c r="A10" s="41" t="s">
        <v>46</v>
      </c>
      <c r="B10" s="42">
        <v>-2397.915418</v>
      </c>
      <c r="C10" s="43"/>
      <c r="F10" t="s">
        <v>126</v>
      </c>
    </row>
    <row r="11" spans="1:10" x14ac:dyDescent="0.35">
      <c r="A11" s="44" t="s">
        <v>47</v>
      </c>
      <c r="B11" s="45">
        <v>-2398.0321840000001</v>
      </c>
      <c r="C11" s="46"/>
      <c r="F11" s="2" t="s">
        <v>111</v>
      </c>
      <c r="G11" s="24">
        <f>B11-B24</f>
        <v>-1.5999999959603883E-5</v>
      </c>
      <c r="H11" t="s">
        <v>112</v>
      </c>
    </row>
    <row r="12" spans="1:10" x14ac:dyDescent="0.35">
      <c r="A12" s="41" t="s">
        <v>48</v>
      </c>
      <c r="B12" s="42"/>
      <c r="C12" s="43"/>
      <c r="G12">
        <v>-4.3538238399999998E-4</v>
      </c>
      <c r="H12" t="s">
        <v>113</v>
      </c>
    </row>
    <row r="13" spans="1:10" x14ac:dyDescent="0.35">
      <c r="G13">
        <v>-4.2008003199999998E-2</v>
      </c>
      <c r="H13" t="s">
        <v>114</v>
      </c>
    </row>
    <row r="14" spans="1:10" x14ac:dyDescent="0.35">
      <c r="A14" s="49" t="s">
        <v>89</v>
      </c>
      <c r="G14">
        <v>-1.0040153729999999E-2</v>
      </c>
      <c r="H14" t="s">
        <v>115</v>
      </c>
      <c r="J14" t="s">
        <v>116</v>
      </c>
    </row>
    <row r="15" spans="1:10" x14ac:dyDescent="0.35">
      <c r="A15" s="41" t="s">
        <v>100</v>
      </c>
      <c r="B15" s="43"/>
      <c r="J15" t="s">
        <v>117</v>
      </c>
    </row>
    <row r="16" spans="1:10" x14ac:dyDescent="0.35">
      <c r="A16" s="44" t="s">
        <v>39</v>
      </c>
      <c r="B16" s="46">
        <v>-2398.3977923799998</v>
      </c>
      <c r="C16" t="s">
        <v>110</v>
      </c>
      <c r="J16" t="s">
        <v>235</v>
      </c>
    </row>
    <row r="17" spans="1:12" x14ac:dyDescent="0.35">
      <c r="A17" s="41" t="s">
        <v>40</v>
      </c>
      <c r="B17" s="43">
        <v>0.44327100000000003</v>
      </c>
      <c r="C17" t="s">
        <v>59</v>
      </c>
    </row>
    <row r="18" spans="1:12" x14ac:dyDescent="0.35">
      <c r="A18" s="44" t="s">
        <v>41</v>
      </c>
      <c r="B18" s="46">
        <v>0.48143599999999998</v>
      </c>
      <c r="J18" t="s">
        <v>121</v>
      </c>
    </row>
    <row r="19" spans="1:12" x14ac:dyDescent="0.35">
      <c r="A19" s="41" t="s">
        <v>42</v>
      </c>
      <c r="B19" s="43">
        <v>0.48237999999999998</v>
      </c>
      <c r="J19" t="s">
        <v>122</v>
      </c>
    </row>
    <row r="20" spans="1:12" x14ac:dyDescent="0.35">
      <c r="A20" s="44" t="s">
        <v>43</v>
      </c>
      <c r="B20" s="46">
        <v>0.36562499999999998</v>
      </c>
      <c r="J20" t="s">
        <v>236</v>
      </c>
    </row>
    <row r="21" spans="1:12" x14ac:dyDescent="0.35">
      <c r="A21" s="41" t="s">
        <v>44</v>
      </c>
      <c r="B21" s="43">
        <v>-2397.9545210000001</v>
      </c>
    </row>
    <row r="22" spans="1:12" x14ac:dyDescent="0.35">
      <c r="A22" s="44" t="s">
        <v>45</v>
      </c>
      <c r="B22" s="46">
        <v>-2397.9163570000001</v>
      </c>
      <c r="J22" t="s">
        <v>123</v>
      </c>
    </row>
    <row r="23" spans="1:12" x14ac:dyDescent="0.35">
      <c r="A23" s="41" t="s">
        <v>46</v>
      </c>
      <c r="B23" s="43">
        <v>-2397.9154119999998</v>
      </c>
    </row>
    <row r="24" spans="1:12" x14ac:dyDescent="0.35">
      <c r="A24" s="44" t="s">
        <v>47</v>
      </c>
      <c r="B24" s="46">
        <v>-2398.0321680000002</v>
      </c>
      <c r="I24" s="30" t="s">
        <v>135</v>
      </c>
    </row>
    <row r="25" spans="1:12" x14ac:dyDescent="0.35">
      <c r="I25" s="30" t="s">
        <v>136</v>
      </c>
    </row>
    <row r="26" spans="1:12" x14ac:dyDescent="0.35">
      <c r="A26" s="2" t="s">
        <v>118</v>
      </c>
      <c r="I26" t="s">
        <v>137</v>
      </c>
    </row>
    <row r="27" spans="1:12" x14ac:dyDescent="0.35">
      <c r="A27" s="2" t="s">
        <v>88</v>
      </c>
    </row>
    <row r="28" spans="1:12" x14ac:dyDescent="0.35">
      <c r="A28" t="s">
        <v>52</v>
      </c>
    </row>
    <row r="29" spans="1:12" x14ac:dyDescent="0.35">
      <c r="A29" t="s">
        <v>39</v>
      </c>
      <c r="B29">
        <v>-2398.4291947299998</v>
      </c>
    </row>
    <row r="30" spans="1:12" x14ac:dyDescent="0.35">
      <c r="A30" t="s">
        <v>40</v>
      </c>
      <c r="B30">
        <v>0.43942199999999998</v>
      </c>
      <c r="I30" t="s">
        <v>207</v>
      </c>
    </row>
    <row r="31" spans="1:12" ht="15" thickBot="1" x14ac:dyDescent="0.4">
      <c r="A31" t="s">
        <v>41</v>
      </c>
      <c r="B31">
        <v>0.47410999999999998</v>
      </c>
    </row>
    <row r="32" spans="1:12" x14ac:dyDescent="0.35">
      <c r="A32" t="s">
        <v>42</v>
      </c>
      <c r="B32">
        <v>0.47505399999999998</v>
      </c>
      <c r="H32" s="7" t="s">
        <v>232</v>
      </c>
      <c r="I32" s="79"/>
      <c r="J32" s="79" t="s">
        <v>172</v>
      </c>
      <c r="K32" s="79"/>
      <c r="L32" s="80">
        <v>-2193.6139920000001</v>
      </c>
    </row>
    <row r="33" spans="1:14" ht="15" thickBot="1" x14ac:dyDescent="0.4">
      <c r="A33" t="s">
        <v>43</v>
      </c>
      <c r="B33">
        <v>0.36806899999999998</v>
      </c>
      <c r="H33" s="19" t="s">
        <v>230</v>
      </c>
      <c r="I33" s="81"/>
      <c r="J33" s="81" t="s">
        <v>156</v>
      </c>
      <c r="K33" s="81"/>
      <c r="L33" s="82">
        <v>-2193.6136069999998</v>
      </c>
    </row>
    <row r="34" spans="1:14" x14ac:dyDescent="0.35">
      <c r="A34" t="s">
        <v>44</v>
      </c>
      <c r="B34">
        <v>-2397.9897719999999</v>
      </c>
      <c r="L34">
        <f>L33-L32</f>
        <v>3.8500000027852366E-4</v>
      </c>
      <c r="M34" t="s">
        <v>233</v>
      </c>
      <c r="N34" t="s">
        <v>234</v>
      </c>
    </row>
    <row r="35" spans="1:14" x14ac:dyDescent="0.35">
      <c r="A35" t="s">
        <v>45</v>
      </c>
      <c r="B35">
        <v>-2397.9550850000001</v>
      </c>
      <c r="L35">
        <f>L34*2600</f>
        <v>1.0010000007241615</v>
      </c>
      <c r="M35" t="s">
        <v>32</v>
      </c>
    </row>
    <row r="36" spans="1:14" x14ac:dyDescent="0.35">
      <c r="A36" t="s">
        <v>46</v>
      </c>
      <c r="B36">
        <v>-2397.9541410000002</v>
      </c>
    </row>
    <row r="37" spans="1:14" x14ac:dyDescent="0.35">
      <c r="A37" t="s">
        <v>47</v>
      </c>
      <c r="B37">
        <v>-2398.0611260000001</v>
      </c>
      <c r="I37" t="s">
        <v>222</v>
      </c>
    </row>
    <row r="39" spans="1:14" x14ac:dyDescent="0.35">
      <c r="A39" s="49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activeCell="L16" sqref="L16"/>
    </sheetView>
  </sheetViews>
  <sheetFormatPr defaultRowHeight="14.5" x14ac:dyDescent="0.35"/>
  <sheetData>
    <row r="1" spans="1:11" x14ac:dyDescent="0.35">
      <c r="A1" t="s">
        <v>261</v>
      </c>
      <c r="B1" s="2" t="s">
        <v>321</v>
      </c>
    </row>
    <row r="2" spans="1:11" x14ac:dyDescent="0.35">
      <c r="A2" t="s">
        <v>262</v>
      </c>
      <c r="B2" s="2" t="s">
        <v>268</v>
      </c>
      <c r="C2" s="2" t="s">
        <v>269</v>
      </c>
      <c r="D2" s="2" t="s">
        <v>270</v>
      </c>
      <c r="E2" s="2" t="s">
        <v>271</v>
      </c>
      <c r="F2" s="2" t="s">
        <v>272</v>
      </c>
      <c r="G2" s="2" t="s">
        <v>273</v>
      </c>
      <c r="K2" s="2" t="s">
        <v>323</v>
      </c>
    </row>
    <row r="4" spans="1:11" x14ac:dyDescent="0.35">
      <c r="A4" t="s">
        <v>263</v>
      </c>
      <c r="B4" s="86" t="s">
        <v>274</v>
      </c>
      <c r="C4" s="86" t="s">
        <v>277</v>
      </c>
      <c r="D4" s="2" t="s">
        <v>280</v>
      </c>
      <c r="E4" s="2" t="s">
        <v>283</v>
      </c>
      <c r="F4" s="2" t="s">
        <v>286</v>
      </c>
      <c r="G4" s="2" t="s">
        <v>287</v>
      </c>
      <c r="H4" s="2" t="s">
        <v>288</v>
      </c>
    </row>
    <row r="5" spans="1:11" x14ac:dyDescent="0.35">
      <c r="B5" s="87" t="s">
        <v>275</v>
      </c>
      <c r="C5" s="2" t="s">
        <v>278</v>
      </c>
      <c r="D5" s="2" t="s">
        <v>281</v>
      </c>
      <c r="E5" s="2" t="s">
        <v>284</v>
      </c>
      <c r="K5" s="86" t="s">
        <v>324</v>
      </c>
    </row>
    <row r="6" spans="1:11" x14ac:dyDescent="0.35">
      <c r="B6" s="87" t="s">
        <v>276</v>
      </c>
      <c r="C6" s="87" t="s">
        <v>279</v>
      </c>
      <c r="D6" s="87" t="s">
        <v>282</v>
      </c>
      <c r="E6" s="87" t="s">
        <v>285</v>
      </c>
      <c r="K6" s="86" t="s">
        <v>325</v>
      </c>
    </row>
    <row r="9" spans="1:11" x14ac:dyDescent="0.35">
      <c r="A9" t="s">
        <v>265</v>
      </c>
      <c r="B9" s="2" t="s">
        <v>289</v>
      </c>
      <c r="C9" s="2" t="s">
        <v>195</v>
      </c>
      <c r="D9" s="2" t="s">
        <v>196</v>
      </c>
      <c r="E9" s="2" t="s">
        <v>290</v>
      </c>
      <c r="F9" s="2" t="s">
        <v>296</v>
      </c>
      <c r="G9" s="87" t="s">
        <v>297</v>
      </c>
      <c r="H9" s="2" t="s">
        <v>298</v>
      </c>
      <c r="I9" s="2" t="s">
        <v>303</v>
      </c>
    </row>
    <row r="10" spans="1:11" x14ac:dyDescent="0.35">
      <c r="C10" s="2" t="s">
        <v>291</v>
      </c>
      <c r="D10" s="2" t="s">
        <v>292</v>
      </c>
      <c r="E10" s="2" t="s">
        <v>293</v>
      </c>
      <c r="F10" s="2" t="s">
        <v>198</v>
      </c>
      <c r="G10" s="86" t="s">
        <v>299</v>
      </c>
      <c r="H10" s="2" t="s">
        <v>300</v>
      </c>
    </row>
    <row r="11" spans="1:11" x14ac:dyDescent="0.35">
      <c r="C11" s="2" t="s">
        <v>294</v>
      </c>
      <c r="D11" s="2" t="s">
        <v>197</v>
      </c>
      <c r="E11" s="2" t="s">
        <v>295</v>
      </c>
      <c r="F11" s="2" t="s">
        <v>199</v>
      </c>
      <c r="G11" s="2" t="s">
        <v>301</v>
      </c>
      <c r="H11" s="2" t="s">
        <v>302</v>
      </c>
      <c r="J11" s="66" t="s">
        <v>473</v>
      </c>
    </row>
    <row r="14" spans="1:11" x14ac:dyDescent="0.35">
      <c r="A14" t="s">
        <v>264</v>
      </c>
      <c r="B14" s="2" t="s">
        <v>304</v>
      </c>
      <c r="C14" s="2" t="s">
        <v>305</v>
      </c>
      <c r="D14" s="2" t="s">
        <v>306</v>
      </c>
      <c r="E14" s="2" t="s">
        <v>307</v>
      </c>
      <c r="F14" s="2" t="s">
        <v>308</v>
      </c>
      <c r="G14" s="2" t="s">
        <v>309</v>
      </c>
      <c r="H14" s="2" t="s">
        <v>313</v>
      </c>
    </row>
    <row r="15" spans="1:11" x14ac:dyDescent="0.35">
      <c r="E15" s="2" t="s">
        <v>191</v>
      </c>
      <c r="F15" s="2" t="s">
        <v>310</v>
      </c>
      <c r="G15" s="2" t="s">
        <v>193</v>
      </c>
      <c r="H15" s="2" t="s">
        <v>192</v>
      </c>
    </row>
    <row r="16" spans="1:11" x14ac:dyDescent="0.35">
      <c r="E16" s="2" t="s">
        <v>190</v>
      </c>
      <c r="F16" s="2" t="s">
        <v>311</v>
      </c>
      <c r="G16" s="2" t="s">
        <v>312</v>
      </c>
      <c r="H16" s="2" t="s">
        <v>314</v>
      </c>
    </row>
    <row r="19" spans="1:5" x14ac:dyDescent="0.35">
      <c r="A19" t="s">
        <v>266</v>
      </c>
      <c r="B19" s="2" t="s">
        <v>315</v>
      </c>
      <c r="C19" s="2" t="s">
        <v>316</v>
      </c>
      <c r="D19" s="2" t="s">
        <v>317</v>
      </c>
      <c r="E19" s="2" t="s">
        <v>318</v>
      </c>
    </row>
    <row r="20" spans="1:5" x14ac:dyDescent="0.35">
      <c r="E20" s="2" t="s">
        <v>319</v>
      </c>
    </row>
    <row r="21" spans="1:5" x14ac:dyDescent="0.35">
      <c r="E21" s="2" t="s">
        <v>320</v>
      </c>
    </row>
    <row r="26" spans="1:5" x14ac:dyDescent="0.35">
      <c r="A26" t="s">
        <v>267</v>
      </c>
      <c r="B26" s="87" t="s">
        <v>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tabSelected="1" topLeftCell="A3" workbookViewId="0">
      <selection activeCell="G18" sqref="G18"/>
    </sheetView>
  </sheetViews>
  <sheetFormatPr defaultRowHeight="14.5" x14ac:dyDescent="0.35"/>
  <cols>
    <col min="1" max="1" width="19.54296875" customWidth="1"/>
    <col min="2" max="2" width="11.7265625" bestFit="1" customWidth="1"/>
    <col min="3" max="3" width="4.26953125" bestFit="1" customWidth="1"/>
    <col min="4" max="4" width="10.54296875" bestFit="1" customWidth="1"/>
    <col min="5" max="5" width="13.7265625" bestFit="1" customWidth="1"/>
    <col min="7" max="7" width="42.54296875" bestFit="1" customWidth="1"/>
  </cols>
  <sheetData>
    <row r="1" spans="1:7" x14ac:dyDescent="0.35">
      <c r="C1" t="s">
        <v>213</v>
      </c>
    </row>
    <row r="2" spans="1:7" x14ac:dyDescent="0.35">
      <c r="E2" s="31" t="s">
        <v>214</v>
      </c>
    </row>
    <row r="3" spans="1:7" x14ac:dyDescent="0.35">
      <c r="D3" t="s">
        <v>585</v>
      </c>
      <c r="E3" s="74">
        <v>-1375.9309479999999</v>
      </c>
      <c r="G3" t="s">
        <v>586</v>
      </c>
    </row>
    <row r="4" spans="1:7" x14ac:dyDescent="0.35">
      <c r="D4" t="s">
        <v>215</v>
      </c>
      <c r="E4" s="74">
        <v>-280.94580200000001</v>
      </c>
    </row>
    <row r="5" spans="1:7" x14ac:dyDescent="0.35">
      <c r="D5" s="18" t="s">
        <v>12</v>
      </c>
      <c r="E5" s="74">
        <v>-76.411471000000006</v>
      </c>
    </row>
    <row r="6" spans="1:7" x14ac:dyDescent="0.35">
      <c r="D6" s="75" t="s">
        <v>11</v>
      </c>
      <c r="E6" s="76">
        <v>-204.68172200000001</v>
      </c>
    </row>
    <row r="7" spans="1:7" ht="15" thickBot="1" x14ac:dyDescent="0.4"/>
    <row r="8" spans="1:7" x14ac:dyDescent="0.35">
      <c r="A8" t="s">
        <v>73</v>
      </c>
      <c r="C8" s="7" t="s">
        <v>216</v>
      </c>
      <c r="D8" s="79"/>
      <c r="E8" s="92">
        <v>-2602.4478899999999</v>
      </c>
      <c r="G8" t="s">
        <v>584</v>
      </c>
    </row>
    <row r="9" spans="1:7" x14ac:dyDescent="0.35">
      <c r="A9" t="s">
        <v>535</v>
      </c>
      <c r="B9" s="66" t="s">
        <v>132</v>
      </c>
      <c r="C9" s="12" t="s">
        <v>217</v>
      </c>
      <c r="D9" s="93"/>
      <c r="E9" s="94">
        <v>-2398.0327029999999</v>
      </c>
      <c r="G9" t="s">
        <v>587</v>
      </c>
    </row>
    <row r="10" spans="1:7" x14ac:dyDescent="0.35">
      <c r="A10" t="s">
        <v>174</v>
      </c>
      <c r="B10" t="s">
        <v>548</v>
      </c>
      <c r="C10" s="12" t="s">
        <v>218</v>
      </c>
      <c r="D10" s="93"/>
      <c r="E10" s="94">
        <v>-2193.615135</v>
      </c>
    </row>
    <row r="11" spans="1:7" x14ac:dyDescent="0.35">
      <c r="A11" t="s">
        <v>186</v>
      </c>
      <c r="B11" t="s">
        <v>469</v>
      </c>
      <c r="C11" s="12" t="s">
        <v>219</v>
      </c>
      <c r="D11" s="93"/>
      <c r="E11" s="94">
        <v>-1989.1985299999999</v>
      </c>
      <c r="G11" t="s">
        <v>595</v>
      </c>
    </row>
    <row r="12" spans="1:7" x14ac:dyDescent="0.35">
      <c r="A12" t="s">
        <v>474</v>
      </c>
      <c r="B12" t="s">
        <v>485</v>
      </c>
      <c r="C12" s="12" t="s">
        <v>220</v>
      </c>
      <c r="D12" s="93"/>
      <c r="E12" s="94">
        <v>-1784.7794610000001</v>
      </c>
      <c r="G12" t="s">
        <v>596</v>
      </c>
    </row>
    <row r="13" spans="1:7" ht="15" thickBot="1" x14ac:dyDescent="0.4">
      <c r="A13" t="s">
        <v>600</v>
      </c>
      <c r="B13" t="s">
        <v>599</v>
      </c>
      <c r="C13" s="19" t="s">
        <v>221</v>
      </c>
      <c r="D13" s="81"/>
      <c r="E13" s="95">
        <v>-1580.3597380000001</v>
      </c>
    </row>
    <row r="16" spans="1:7" x14ac:dyDescent="0.35">
      <c r="G16" s="11"/>
    </row>
    <row r="18" spans="2:7" x14ac:dyDescent="0.35">
      <c r="B18" t="s">
        <v>579</v>
      </c>
      <c r="G18" s="11"/>
    </row>
    <row r="19" spans="2:7" x14ac:dyDescent="0.35">
      <c r="B19" t="s">
        <v>580</v>
      </c>
      <c r="G19" s="11"/>
    </row>
    <row r="20" spans="2:7" x14ac:dyDescent="0.35">
      <c r="B20" t="s">
        <v>581</v>
      </c>
    </row>
    <row r="22" spans="2:7" x14ac:dyDescent="0.35">
      <c r="B22" t="s">
        <v>582</v>
      </c>
    </row>
    <row r="26" spans="2:7" x14ac:dyDescent="0.35">
      <c r="B26" t="s">
        <v>583</v>
      </c>
      <c r="C26" s="71" t="s">
        <v>208</v>
      </c>
      <c r="D26" s="72" t="s">
        <v>209</v>
      </c>
      <c r="E26" s="31" t="s">
        <v>210</v>
      </c>
      <c r="G26" s="73" t="s">
        <v>211</v>
      </c>
    </row>
    <row r="27" spans="2:7" x14ac:dyDescent="0.35">
      <c r="G27" t="s">
        <v>212</v>
      </c>
    </row>
    <row r="28" spans="2:7" x14ac:dyDescent="0.35">
      <c r="C28">
        <v>0</v>
      </c>
      <c r="D28" s="11">
        <f>((E3 -$E$3))*2600</f>
        <v>0</v>
      </c>
    </row>
    <row r="29" spans="2:7" x14ac:dyDescent="0.35">
      <c r="C29">
        <v>1</v>
      </c>
      <c r="D29" s="11">
        <f>((E13 +$C29*($E$5))-($C29*($E$4)+$E$3))*2600</f>
        <v>274.40659999974741</v>
      </c>
      <c r="E29" s="11"/>
    </row>
    <row r="30" spans="2:7" x14ac:dyDescent="0.35">
      <c r="C30">
        <v>2</v>
      </c>
      <c r="D30" s="11">
        <f>((E12 +$C30*($E$5))-($C30*($E$4)+$E$3))*2600</f>
        <v>572.38739999997961</v>
      </c>
    </row>
    <row r="31" spans="2:7" x14ac:dyDescent="0.35">
      <c r="C31">
        <v>3</v>
      </c>
      <c r="D31" s="11">
        <f>((E11 +$C31*($E$5))-($C31*($E$4)+$E$3))*2600</f>
        <v>872.0686000000569</v>
      </c>
    </row>
    <row r="32" spans="2:7" x14ac:dyDescent="0.35">
      <c r="C32">
        <v>4</v>
      </c>
      <c r="D32" s="11">
        <f>((E10 +$C32*($E$5))-($C32*($E$4)+$E$3))*2600</f>
        <v>1178.1561999999212</v>
      </c>
    </row>
    <row r="33" spans="3:4" x14ac:dyDescent="0.35">
      <c r="C33">
        <v>5</v>
      </c>
      <c r="D33" s="11">
        <f>((E9 +$C33*($E$5))-($C33*($E$4)+$E$3))*2600</f>
        <v>1481.7400000010821</v>
      </c>
    </row>
    <row r="34" spans="3:4" x14ac:dyDescent="0.35">
      <c r="C34">
        <v>6</v>
      </c>
      <c r="D34" s="11">
        <f>((E8 +$C34*($E$5))-($C34*($E$4)+$E$3))*2600</f>
        <v>1791.514400001688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9"/>
  <sheetViews>
    <sheetView topLeftCell="E1" workbookViewId="0">
      <selection activeCell="L16" sqref="L16"/>
    </sheetView>
  </sheetViews>
  <sheetFormatPr defaultRowHeight="14.5" x14ac:dyDescent="0.35"/>
  <sheetData>
    <row r="1" spans="1:27" x14ac:dyDescent="0.35">
      <c r="B1" t="s">
        <v>588</v>
      </c>
      <c r="D1" s="98" t="s">
        <v>589</v>
      </c>
      <c r="E1" s="98"/>
      <c r="F1" s="98"/>
      <c r="G1" s="98"/>
      <c r="H1" s="98"/>
      <c r="I1" s="98"/>
      <c r="J1" s="98"/>
    </row>
    <row r="2" spans="1:27" x14ac:dyDescent="0.35">
      <c r="A2" t="s">
        <v>593</v>
      </c>
      <c r="B2" t="s">
        <v>597</v>
      </c>
      <c r="D2" s="98" t="s">
        <v>590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</row>
    <row r="3" spans="1:27" x14ac:dyDescent="0.35">
      <c r="A3">
        <v>0.9</v>
      </c>
      <c r="B3" t="s">
        <v>591</v>
      </c>
      <c r="C3">
        <v>0</v>
      </c>
      <c r="D3">
        <v>1E-8</v>
      </c>
      <c r="E3">
        <v>9.9999999999999995E-7</v>
      </c>
      <c r="F3">
        <v>1E-4</v>
      </c>
      <c r="G3">
        <v>0.01</v>
      </c>
      <c r="H3">
        <v>0.05</v>
      </c>
      <c r="I3">
        <v>0.1</v>
      </c>
      <c r="J3">
        <v>0.15</v>
      </c>
      <c r="K3">
        <v>0.2</v>
      </c>
      <c r="L3">
        <v>0.25</v>
      </c>
      <c r="M3">
        <v>0.3</v>
      </c>
      <c r="N3">
        <v>0.35</v>
      </c>
      <c r="O3">
        <v>0.4</v>
      </c>
      <c r="P3">
        <v>0.45</v>
      </c>
      <c r="Q3">
        <v>0.5</v>
      </c>
      <c r="R3">
        <v>0.55000000000000004</v>
      </c>
      <c r="S3">
        <v>0.6</v>
      </c>
      <c r="T3">
        <v>0.65</v>
      </c>
      <c r="U3">
        <v>0.7</v>
      </c>
      <c r="V3">
        <v>0.75</v>
      </c>
      <c r="W3">
        <v>0.8</v>
      </c>
      <c r="X3">
        <v>0.85</v>
      </c>
      <c r="Y3">
        <v>0.9</v>
      </c>
      <c r="Z3">
        <v>0.95</v>
      </c>
      <c r="AA3">
        <v>1</v>
      </c>
    </row>
    <row r="4" spans="1:27" x14ac:dyDescent="0.35">
      <c r="A4">
        <v>274.40659999974702</v>
      </c>
      <c r="B4">
        <v>0</v>
      </c>
      <c r="C4" s="96" t="e">
        <f>274.406599999747+0.008314*298*LN((C$18*($A$18*C$18)^($A$18))/($B4*(1-$A$18*C$18)^($A$18)))</f>
        <v>#DIV/0!</v>
      </c>
      <c r="D4" s="96" t="e">
        <f t="shared" ref="D4:S15" si="0">0.008314*298*LN((D$3*($A$3*D$3)^($A$3))/($B4*(1-$A$3*D$3)^($A$3)))</f>
        <v>#DIV/0!</v>
      </c>
      <c r="E4" s="96" t="e">
        <f t="shared" si="0"/>
        <v>#DIV/0!</v>
      </c>
      <c r="F4" s="96" t="e">
        <f t="shared" si="0"/>
        <v>#DIV/0!</v>
      </c>
      <c r="G4" s="96" t="e">
        <f t="shared" si="0"/>
        <v>#DIV/0!</v>
      </c>
      <c r="H4" s="96" t="e">
        <f t="shared" si="0"/>
        <v>#DIV/0!</v>
      </c>
      <c r="I4" s="96" t="e">
        <f t="shared" si="0"/>
        <v>#DIV/0!</v>
      </c>
      <c r="J4" s="96" t="e">
        <f t="shared" si="0"/>
        <v>#DIV/0!</v>
      </c>
      <c r="K4" s="96" t="e">
        <f t="shared" si="0"/>
        <v>#DIV/0!</v>
      </c>
      <c r="L4" s="96" t="e">
        <f t="shared" si="0"/>
        <v>#DIV/0!</v>
      </c>
      <c r="M4" s="96" t="e">
        <f t="shared" si="0"/>
        <v>#DIV/0!</v>
      </c>
      <c r="N4" s="96" t="e">
        <f t="shared" si="0"/>
        <v>#DIV/0!</v>
      </c>
      <c r="O4" s="96" t="e">
        <f t="shared" si="0"/>
        <v>#DIV/0!</v>
      </c>
      <c r="P4" s="96" t="e">
        <f t="shared" si="0"/>
        <v>#DIV/0!</v>
      </c>
      <c r="Q4" s="96" t="e">
        <f t="shared" si="0"/>
        <v>#DIV/0!</v>
      </c>
      <c r="R4" s="96" t="e">
        <f t="shared" si="0"/>
        <v>#DIV/0!</v>
      </c>
      <c r="S4" s="96" t="e">
        <f t="shared" si="0"/>
        <v>#DIV/0!</v>
      </c>
      <c r="T4" s="96" t="e">
        <f t="shared" ref="T4:AA15" si="1">0.008314*298*LN((T$3*($A$3*T$3)^($A$3))/($B4*(1-$A$3*T$3)^($A$3)))</f>
        <v>#DIV/0!</v>
      </c>
      <c r="U4" s="96" t="e">
        <f t="shared" si="1"/>
        <v>#DIV/0!</v>
      </c>
      <c r="V4" s="96" t="e">
        <f t="shared" si="1"/>
        <v>#DIV/0!</v>
      </c>
      <c r="W4" s="96" t="e">
        <f t="shared" si="1"/>
        <v>#DIV/0!</v>
      </c>
      <c r="X4" s="96" t="e">
        <f t="shared" si="1"/>
        <v>#DIV/0!</v>
      </c>
      <c r="Y4" s="96" t="e">
        <f t="shared" si="1"/>
        <v>#DIV/0!</v>
      </c>
      <c r="Z4" s="96" t="e">
        <f t="shared" si="1"/>
        <v>#DIV/0!</v>
      </c>
      <c r="AA4" s="96" t="e">
        <f t="shared" si="1"/>
        <v>#DIV/0!</v>
      </c>
    </row>
    <row r="5" spans="1:27" x14ac:dyDescent="0.35">
      <c r="B5">
        <v>1.0000000000000001E-5</v>
      </c>
      <c r="C5" s="96"/>
      <c r="D5" s="96">
        <f t="shared" si="0"/>
        <v>-58.424102028079446</v>
      </c>
      <c r="E5" s="96">
        <f t="shared" si="0"/>
        <v>-36.745782696039669</v>
      </c>
      <c r="F5" s="96">
        <f t="shared" si="0"/>
        <v>-15.067266665236714</v>
      </c>
      <c r="G5" s="96">
        <f t="shared" si="0"/>
        <v>6.6310091739022621</v>
      </c>
      <c r="H5" s="96">
        <f t="shared" si="0"/>
        <v>14.289766227606446</v>
      </c>
      <c r="I5" s="96">
        <f t="shared" si="0"/>
        <v>17.660304009193851</v>
      </c>
      <c r="J5" s="96">
        <f t="shared" si="0"/>
        <v>19.68207037097886</v>
      </c>
      <c r="K5" s="96">
        <f t="shared" si="0"/>
        <v>21.155429388776234</v>
      </c>
      <c r="L5" s="96">
        <f t="shared" si="0"/>
        <v>22.331706067125129</v>
      </c>
      <c r="M5" s="96">
        <f t="shared" si="0"/>
        <v>23.323348322867457</v>
      </c>
      <c r="N5" s="96">
        <f t="shared" si="0"/>
        <v>24.190868716631314</v>
      </c>
      <c r="O5" s="96">
        <f t="shared" si="0"/>
        <v>24.970970023250999</v>
      </c>
      <c r="P5" s="96">
        <f t="shared" si="0"/>
        <v>25.687988927131865</v>
      </c>
      <c r="Q5" s="96">
        <f t="shared" si="0"/>
        <v>26.359321236995157</v>
      </c>
      <c r="R5" s="96">
        <f t="shared" si="0"/>
        <v>26.998319773828715</v>
      </c>
      <c r="S5" s="96">
        <f t="shared" si="0"/>
        <v>27.616028921980924</v>
      </c>
      <c r="T5" s="96">
        <f t="shared" si="1"/>
        <v>28.222375812988624</v>
      </c>
      <c r="U5" s="96">
        <f t="shared" si="1"/>
        <v>28.827158843995637</v>
      </c>
      <c r="V5" s="96">
        <f t="shared" si="1"/>
        <v>29.441092506172559</v>
      </c>
      <c r="W5" s="96">
        <f t="shared" si="1"/>
        <v>30.077222028805711</v>
      </c>
      <c r="X5" s="96">
        <f t="shared" si="1"/>
        <v>30.753278244028053</v>
      </c>
      <c r="Y5" s="96">
        <f t="shared" si="1"/>
        <v>31.496317656091701</v>
      </c>
      <c r="Z5" s="96">
        <f t="shared" si="1"/>
        <v>32.353530357363006</v>
      </c>
      <c r="AA5" s="96">
        <f t="shared" si="1"/>
        <v>33.423505651565264</v>
      </c>
    </row>
    <row r="6" spans="1:27" x14ac:dyDescent="0.35">
      <c r="B6">
        <v>0.1</v>
      </c>
      <c r="C6" s="96" t="e">
        <f t="shared" ref="C6:C15" si="2">0.008314*298*LN((C$3*($A$3*C$3)^($A$3))/($B6*(1-$A$3*C$3)^($A$3)))</f>
        <v>#NUM!</v>
      </c>
      <c r="D6" s="96">
        <f t="shared" si="0"/>
        <v>-81.243383444157217</v>
      </c>
      <c r="E6" s="96">
        <f t="shared" si="0"/>
        <v>-59.565064112117447</v>
      </c>
      <c r="F6" s="96">
        <f t="shared" si="0"/>
        <v>-37.886548081314487</v>
      </c>
      <c r="G6" s="96">
        <f t="shared" si="0"/>
        <v>-16.188272242175511</v>
      </c>
      <c r="H6" s="96">
        <f t="shared" si="0"/>
        <v>-8.5295151884713292</v>
      </c>
      <c r="I6" s="96">
        <f t="shared" si="0"/>
        <v>-5.1589774068839223</v>
      </c>
      <c r="J6" s="96">
        <f t="shared" si="0"/>
        <v>-3.1372110450989155</v>
      </c>
      <c r="K6" s="96">
        <f t="shared" si="0"/>
        <v>-1.6638520273015414</v>
      </c>
      <c r="L6" s="96">
        <f t="shared" si="0"/>
        <v>-0.48757534895264487</v>
      </c>
      <c r="M6" s="96">
        <f t="shared" si="0"/>
        <v>0.50406690678968336</v>
      </c>
      <c r="N6" s="96">
        <f t="shared" si="0"/>
        <v>1.3715873005535406</v>
      </c>
      <c r="O6" s="96">
        <f t="shared" si="0"/>
        <v>2.1516886071732237</v>
      </c>
      <c r="P6" s="96">
        <f t="shared" si="0"/>
        <v>2.8687075110540947</v>
      </c>
      <c r="Q6" s="96">
        <f t="shared" si="0"/>
        <v>3.5400398209173818</v>
      </c>
      <c r="R6" s="96">
        <f t="shared" si="0"/>
        <v>4.1790383577509402</v>
      </c>
      <c r="S6" s="96">
        <f t="shared" si="0"/>
        <v>4.7967475059031468</v>
      </c>
      <c r="T6" s="96">
        <f t="shared" si="1"/>
        <v>5.4030943969108529</v>
      </c>
      <c r="U6" s="96">
        <f t="shared" si="1"/>
        <v>6.0078774279178617</v>
      </c>
      <c r="V6" s="96">
        <f t="shared" si="1"/>
        <v>6.6218110900947851</v>
      </c>
      <c r="W6" s="96">
        <f t="shared" si="1"/>
        <v>7.2579406127279364</v>
      </c>
      <c r="X6" s="96">
        <f t="shared" si="1"/>
        <v>7.9339968279502768</v>
      </c>
      <c r="Y6" s="96">
        <f t="shared" si="1"/>
        <v>8.6770362400139245</v>
      </c>
      <c r="Z6" s="96">
        <f t="shared" si="1"/>
        <v>9.5342489412852345</v>
      </c>
      <c r="AA6" s="96">
        <f t="shared" si="1"/>
        <v>10.604224235487491</v>
      </c>
    </row>
    <row r="7" spans="1:27" x14ac:dyDescent="0.35">
      <c r="B7">
        <v>0.2</v>
      </c>
      <c r="C7" s="96" t="e">
        <f t="shared" si="2"/>
        <v>#NUM!</v>
      </c>
      <c r="D7" s="96">
        <f t="shared" si="0"/>
        <v>-82.960705490591479</v>
      </c>
      <c r="E7" s="96">
        <f t="shared" si="0"/>
        <v>-61.282386158551702</v>
      </c>
      <c r="F7" s="96">
        <f t="shared" si="0"/>
        <v>-39.603870127748749</v>
      </c>
      <c r="G7" s="96">
        <f t="shared" si="0"/>
        <v>-17.905594288609777</v>
      </c>
      <c r="H7" s="96">
        <f t="shared" si="0"/>
        <v>-10.246837234905593</v>
      </c>
      <c r="I7" s="96">
        <f t="shared" si="0"/>
        <v>-6.876299453318186</v>
      </c>
      <c r="J7" s="96">
        <f t="shared" si="0"/>
        <v>-4.8545330915331801</v>
      </c>
      <c r="K7" s="96">
        <f t="shared" si="0"/>
        <v>-3.381174073735806</v>
      </c>
      <c r="L7" s="96">
        <f t="shared" si="0"/>
        <v>-2.2048973953869098</v>
      </c>
      <c r="M7" s="96">
        <f t="shared" si="0"/>
        <v>-1.2132551396445814</v>
      </c>
      <c r="N7" s="96">
        <f t="shared" si="0"/>
        <v>-0.34573474588072417</v>
      </c>
      <c r="O7" s="96">
        <f t="shared" si="0"/>
        <v>0.43436656073895924</v>
      </c>
      <c r="P7" s="96">
        <f t="shared" si="0"/>
        <v>1.1513854646198298</v>
      </c>
      <c r="Q7" s="96">
        <f t="shared" si="0"/>
        <v>1.8227177744831169</v>
      </c>
      <c r="R7" s="96">
        <f t="shared" si="0"/>
        <v>2.4617163113166756</v>
      </c>
      <c r="S7" s="96">
        <f t="shared" si="0"/>
        <v>3.0794254594688821</v>
      </c>
      <c r="T7" s="96">
        <f t="shared" si="1"/>
        <v>3.6857723504765878</v>
      </c>
      <c r="U7" s="96">
        <f t="shared" si="1"/>
        <v>4.2905553814835971</v>
      </c>
      <c r="V7" s="96">
        <f t="shared" si="1"/>
        <v>4.9044890436605195</v>
      </c>
      <c r="W7" s="96">
        <f t="shared" si="1"/>
        <v>5.5406185662936727</v>
      </c>
      <c r="X7" s="96">
        <f t="shared" si="1"/>
        <v>6.2166747815160122</v>
      </c>
      <c r="Y7" s="96">
        <f t="shared" si="1"/>
        <v>6.9597141935796598</v>
      </c>
      <c r="Z7" s="96">
        <f t="shared" si="1"/>
        <v>7.8169268948509698</v>
      </c>
      <c r="AA7" s="96">
        <f t="shared" si="1"/>
        <v>8.8869021890532256</v>
      </c>
    </row>
    <row r="8" spans="1:27" x14ac:dyDescent="0.35">
      <c r="B8">
        <v>0.3</v>
      </c>
      <c r="C8" s="96" t="e">
        <f t="shared" si="2"/>
        <v>#NUM!</v>
      </c>
      <c r="D8" s="96">
        <f t="shared" si="0"/>
        <v>-83.96527448941724</v>
      </c>
      <c r="E8" s="96">
        <f t="shared" si="0"/>
        <v>-62.286955157377463</v>
      </c>
      <c r="F8" s="96">
        <f t="shared" si="0"/>
        <v>-40.60843912657451</v>
      </c>
      <c r="G8" s="96">
        <f t="shared" si="0"/>
        <v>-18.910163287435537</v>
      </c>
      <c r="H8" s="96">
        <f t="shared" si="0"/>
        <v>-11.251406233731355</v>
      </c>
      <c r="I8" s="96">
        <f t="shared" si="0"/>
        <v>-7.8808684521439476</v>
      </c>
      <c r="J8" s="96">
        <f t="shared" si="0"/>
        <v>-5.8591020903589408</v>
      </c>
      <c r="K8" s="96">
        <f t="shared" si="0"/>
        <v>-4.3857430725615663</v>
      </c>
      <c r="L8" s="96">
        <f t="shared" si="0"/>
        <v>-3.2094663942126704</v>
      </c>
      <c r="M8" s="96">
        <f t="shared" si="0"/>
        <v>-2.2178241384703421</v>
      </c>
      <c r="N8" s="96">
        <f t="shared" si="0"/>
        <v>-1.350303744706485</v>
      </c>
      <c r="O8" s="96">
        <f t="shared" si="0"/>
        <v>-0.57020243808680215</v>
      </c>
      <c r="P8" s="96">
        <f t="shared" si="0"/>
        <v>0.14681646579406837</v>
      </c>
      <c r="Q8" s="96">
        <f t="shared" si="0"/>
        <v>0.81814877565735555</v>
      </c>
      <c r="R8" s="96">
        <f t="shared" si="0"/>
        <v>1.4571473124909149</v>
      </c>
      <c r="S8" s="96">
        <f t="shared" si="0"/>
        <v>2.0748564606431215</v>
      </c>
      <c r="T8" s="96">
        <f t="shared" si="1"/>
        <v>2.6812033516508267</v>
      </c>
      <c r="U8" s="96">
        <f t="shared" si="1"/>
        <v>3.2859863826578364</v>
      </c>
      <c r="V8" s="96">
        <f t="shared" si="1"/>
        <v>3.8999200448347588</v>
      </c>
      <c r="W8" s="96">
        <f t="shared" si="1"/>
        <v>4.5360495674679111</v>
      </c>
      <c r="X8" s="96">
        <f t="shared" si="1"/>
        <v>5.2121057826902515</v>
      </c>
      <c r="Y8" s="96">
        <f t="shared" si="1"/>
        <v>5.9551451947538983</v>
      </c>
      <c r="Z8" s="96">
        <f t="shared" si="1"/>
        <v>6.8123578960252082</v>
      </c>
      <c r="AA8" s="96">
        <f t="shared" si="1"/>
        <v>7.8823331902274649</v>
      </c>
    </row>
    <row r="9" spans="1:27" x14ac:dyDescent="0.35">
      <c r="B9">
        <v>0.4</v>
      </c>
      <c r="C9" s="96" t="e">
        <f t="shared" si="2"/>
        <v>#NUM!</v>
      </c>
      <c r="D9" s="96">
        <f t="shared" si="0"/>
        <v>-84.678027537025741</v>
      </c>
      <c r="E9" s="96">
        <f t="shared" si="0"/>
        <v>-62.999708204985978</v>
      </c>
      <c r="F9" s="96">
        <f t="shared" si="0"/>
        <v>-41.321192174183018</v>
      </c>
      <c r="G9" s="96">
        <f t="shared" si="0"/>
        <v>-19.622916335044042</v>
      </c>
      <c r="H9" s="96">
        <f t="shared" si="0"/>
        <v>-11.964159281339859</v>
      </c>
      <c r="I9" s="96">
        <f t="shared" si="0"/>
        <v>-8.5936214997524516</v>
      </c>
      <c r="J9" s="96">
        <f t="shared" si="0"/>
        <v>-6.5718551379674457</v>
      </c>
      <c r="K9" s="96">
        <f t="shared" si="0"/>
        <v>-5.0984961201700703</v>
      </c>
      <c r="L9" s="96">
        <f t="shared" si="0"/>
        <v>-3.9222194418211744</v>
      </c>
      <c r="M9" s="96">
        <f t="shared" si="0"/>
        <v>-2.9305771860788461</v>
      </c>
      <c r="N9" s="96">
        <f t="shared" si="0"/>
        <v>-2.0630567923149892</v>
      </c>
      <c r="O9" s="96">
        <f t="shared" si="0"/>
        <v>-1.2829554856953056</v>
      </c>
      <c r="P9" s="96">
        <f t="shared" si="0"/>
        <v>-0.56593658181443507</v>
      </c>
      <c r="Q9" s="96">
        <f t="shared" si="0"/>
        <v>0.10539572804885212</v>
      </c>
      <c r="R9" s="96">
        <f t="shared" si="0"/>
        <v>0.74439426488241101</v>
      </c>
      <c r="S9" s="96">
        <f t="shared" si="0"/>
        <v>1.3621034130346172</v>
      </c>
      <c r="T9" s="96">
        <f t="shared" si="1"/>
        <v>1.9684503040423229</v>
      </c>
      <c r="U9" s="96">
        <f t="shared" si="1"/>
        <v>2.5732333350493324</v>
      </c>
      <c r="V9" s="96">
        <f t="shared" si="1"/>
        <v>3.1871669972262548</v>
      </c>
      <c r="W9" s="96">
        <f t="shared" si="1"/>
        <v>3.8232965198594067</v>
      </c>
      <c r="X9" s="96">
        <f t="shared" si="1"/>
        <v>4.4993527350817475</v>
      </c>
      <c r="Y9" s="96">
        <f t="shared" si="1"/>
        <v>5.2423921471453951</v>
      </c>
      <c r="Z9" s="96">
        <f t="shared" si="1"/>
        <v>6.0996048484167051</v>
      </c>
      <c r="AA9" s="96">
        <f t="shared" si="1"/>
        <v>7.1695801426189609</v>
      </c>
    </row>
    <row r="10" spans="1:27" x14ac:dyDescent="0.35">
      <c r="B10">
        <v>0.5</v>
      </c>
      <c r="C10" s="96" t="e">
        <f t="shared" si="2"/>
        <v>#NUM!</v>
      </c>
      <c r="D10" s="96">
        <f t="shared" si="0"/>
        <v>-85.230881751742388</v>
      </c>
      <c r="E10" s="96">
        <f t="shared" si="0"/>
        <v>-63.552562419702625</v>
      </c>
      <c r="F10" s="96">
        <f t="shared" si="0"/>
        <v>-41.874046388899664</v>
      </c>
      <c r="G10" s="96">
        <f t="shared" si="0"/>
        <v>-20.175770549760689</v>
      </c>
      <c r="H10" s="96">
        <f t="shared" si="0"/>
        <v>-12.517013496056508</v>
      </c>
      <c r="I10" s="96">
        <f t="shared" si="0"/>
        <v>-9.1464757144690996</v>
      </c>
      <c r="J10" s="96">
        <f t="shared" si="0"/>
        <v>-7.1247093526840937</v>
      </c>
      <c r="K10" s="96">
        <f t="shared" si="0"/>
        <v>-5.6513503348867191</v>
      </c>
      <c r="L10" s="96">
        <f t="shared" si="0"/>
        <v>-4.4750736565378233</v>
      </c>
      <c r="M10" s="96">
        <f t="shared" si="0"/>
        <v>-3.4834314007954954</v>
      </c>
      <c r="N10" s="96">
        <f t="shared" si="0"/>
        <v>-2.615911007031638</v>
      </c>
      <c r="O10" s="96">
        <f t="shared" si="0"/>
        <v>-1.8358097004119549</v>
      </c>
      <c r="P10" s="96">
        <f t="shared" si="0"/>
        <v>-1.1187907965310846</v>
      </c>
      <c r="Q10" s="96">
        <f t="shared" si="0"/>
        <v>-0.4474584866677972</v>
      </c>
      <c r="R10" s="96">
        <f t="shared" si="0"/>
        <v>0.19154005016576209</v>
      </c>
      <c r="S10" s="96">
        <f t="shared" si="0"/>
        <v>0.80924919831796815</v>
      </c>
      <c r="T10" s="96">
        <f t="shared" si="1"/>
        <v>1.4155960893256738</v>
      </c>
      <c r="U10" s="96">
        <f t="shared" si="1"/>
        <v>2.0203791203326826</v>
      </c>
      <c r="V10" s="96">
        <f t="shared" si="1"/>
        <v>2.634312782509606</v>
      </c>
      <c r="W10" s="96">
        <f t="shared" si="1"/>
        <v>3.2704423051427578</v>
      </c>
      <c r="X10" s="96">
        <f t="shared" si="1"/>
        <v>3.9464985203650986</v>
      </c>
      <c r="Y10" s="96">
        <f t="shared" si="1"/>
        <v>4.6895379324287463</v>
      </c>
      <c r="Z10" s="96">
        <f t="shared" si="1"/>
        <v>5.5467506337000563</v>
      </c>
      <c r="AA10" s="96">
        <f t="shared" si="1"/>
        <v>6.6167259279023121</v>
      </c>
    </row>
    <row r="11" spans="1:27" x14ac:dyDescent="0.35">
      <c r="B11">
        <v>0.6</v>
      </c>
      <c r="C11" s="96" t="e">
        <f t="shared" si="2"/>
        <v>#NUM!</v>
      </c>
      <c r="D11" s="96">
        <f t="shared" si="0"/>
        <v>-85.682596535851516</v>
      </c>
      <c r="E11" s="96">
        <f t="shared" si="0"/>
        <v>-64.004277203811739</v>
      </c>
      <c r="F11" s="96">
        <f t="shared" si="0"/>
        <v>-42.325761173008779</v>
      </c>
      <c r="G11" s="96">
        <f t="shared" si="0"/>
        <v>-20.627485333869803</v>
      </c>
      <c r="H11" s="96">
        <f t="shared" si="0"/>
        <v>-12.968728280165619</v>
      </c>
      <c r="I11" s="96">
        <f t="shared" si="0"/>
        <v>-9.5981904985782123</v>
      </c>
      <c r="J11" s="96">
        <f t="shared" si="0"/>
        <v>-7.5764241367932064</v>
      </c>
      <c r="K11" s="96">
        <f t="shared" si="0"/>
        <v>-6.1030651189958309</v>
      </c>
      <c r="L11" s="96">
        <f t="shared" si="0"/>
        <v>-4.9267884406469351</v>
      </c>
      <c r="M11" s="96">
        <f t="shared" si="0"/>
        <v>-3.9351461849046068</v>
      </c>
      <c r="N11" s="96">
        <f t="shared" si="0"/>
        <v>-3.0676257911407498</v>
      </c>
      <c r="O11" s="96">
        <f t="shared" si="0"/>
        <v>-2.2875244845210667</v>
      </c>
      <c r="P11" s="96">
        <f t="shared" si="0"/>
        <v>-1.5705055806401962</v>
      </c>
      <c r="Q11" s="96">
        <f t="shared" si="0"/>
        <v>-0.89917327077690934</v>
      </c>
      <c r="R11" s="96">
        <f t="shared" si="0"/>
        <v>-0.26017473394334972</v>
      </c>
      <c r="S11" s="96">
        <f t="shared" si="0"/>
        <v>0.35753441420885657</v>
      </c>
      <c r="T11" s="96">
        <f t="shared" si="1"/>
        <v>0.9638813052165619</v>
      </c>
      <c r="U11" s="96">
        <f t="shared" si="1"/>
        <v>1.5686643362235715</v>
      </c>
      <c r="V11" s="96">
        <f t="shared" si="1"/>
        <v>2.1825979984004942</v>
      </c>
      <c r="W11" s="96">
        <f t="shared" si="1"/>
        <v>2.818727521033646</v>
      </c>
      <c r="X11" s="96">
        <f t="shared" si="1"/>
        <v>3.4947837362559868</v>
      </c>
      <c r="Y11" s="96">
        <f t="shared" si="1"/>
        <v>4.2378231483196336</v>
      </c>
      <c r="Z11" s="96">
        <f t="shared" si="1"/>
        <v>5.0950358495909436</v>
      </c>
      <c r="AA11" s="96">
        <f t="shared" si="1"/>
        <v>6.1650111437932003</v>
      </c>
    </row>
    <row r="12" spans="1:27" x14ac:dyDescent="0.35">
      <c r="B12">
        <v>0.7</v>
      </c>
      <c r="C12" s="96" t="e">
        <f t="shared" si="2"/>
        <v>#NUM!</v>
      </c>
      <c r="D12" s="96">
        <f t="shared" si="0"/>
        <v>-86.064515943972481</v>
      </c>
      <c r="E12" s="96">
        <f t="shared" si="0"/>
        <v>-64.386196611932718</v>
      </c>
      <c r="F12" s="96">
        <f t="shared" si="0"/>
        <v>-42.707680581129758</v>
      </c>
      <c r="G12" s="96">
        <f t="shared" si="0"/>
        <v>-21.009404741990785</v>
      </c>
      <c r="H12" s="96">
        <f t="shared" si="0"/>
        <v>-13.3506476882866</v>
      </c>
      <c r="I12" s="96">
        <f t="shared" si="0"/>
        <v>-9.9801099066991927</v>
      </c>
      <c r="J12" s="96">
        <f t="shared" si="0"/>
        <v>-7.9583435449141851</v>
      </c>
      <c r="K12" s="96">
        <f t="shared" si="0"/>
        <v>-6.4849845271168114</v>
      </c>
      <c r="L12" s="96">
        <f t="shared" si="0"/>
        <v>-5.3087078487679156</v>
      </c>
      <c r="M12" s="96">
        <f t="shared" si="0"/>
        <v>-4.3170655930255872</v>
      </c>
      <c r="N12" s="96">
        <f t="shared" si="0"/>
        <v>-3.4495451992617294</v>
      </c>
      <c r="O12" s="96">
        <f t="shared" si="0"/>
        <v>-2.6694438926420467</v>
      </c>
      <c r="P12" s="96">
        <f t="shared" si="0"/>
        <v>-1.9524249887611762</v>
      </c>
      <c r="Q12" s="96">
        <f t="shared" si="0"/>
        <v>-1.2810926788978889</v>
      </c>
      <c r="R12" s="96">
        <f t="shared" si="0"/>
        <v>-0.64209414206432969</v>
      </c>
      <c r="S12" s="96">
        <f t="shared" si="0"/>
        <v>-2.4384993912123298E-2</v>
      </c>
      <c r="T12" s="96">
        <f t="shared" si="1"/>
        <v>0.5819618970955821</v>
      </c>
      <c r="U12" s="96">
        <f t="shared" si="1"/>
        <v>1.1867449281025912</v>
      </c>
      <c r="V12" s="96">
        <f t="shared" si="1"/>
        <v>1.8006785902795146</v>
      </c>
      <c r="W12" s="96">
        <f t="shared" si="1"/>
        <v>2.4368081129126664</v>
      </c>
      <c r="X12" s="96">
        <f t="shared" si="1"/>
        <v>3.1128643281350068</v>
      </c>
      <c r="Y12" s="96">
        <f t="shared" si="1"/>
        <v>3.8559037401986545</v>
      </c>
      <c r="Z12" s="96">
        <f t="shared" si="1"/>
        <v>4.713116441469964</v>
      </c>
      <c r="AA12" s="96">
        <f t="shared" si="1"/>
        <v>5.7830917356722207</v>
      </c>
    </row>
    <row r="13" spans="1:27" x14ac:dyDescent="0.35">
      <c r="B13">
        <v>0.8</v>
      </c>
      <c r="C13" s="96" t="e">
        <f t="shared" si="2"/>
        <v>#NUM!</v>
      </c>
      <c r="D13" s="96">
        <f t="shared" si="0"/>
        <v>-86.395349583460018</v>
      </c>
      <c r="E13" s="96">
        <f t="shared" si="0"/>
        <v>-64.71703025142024</v>
      </c>
      <c r="F13" s="96">
        <f t="shared" si="0"/>
        <v>-43.03851422061728</v>
      </c>
      <c r="G13" s="96">
        <f t="shared" si="0"/>
        <v>-21.340238381478308</v>
      </c>
      <c r="H13" s="96">
        <f t="shared" si="0"/>
        <v>-13.681481327774124</v>
      </c>
      <c r="I13" s="96">
        <f t="shared" si="0"/>
        <v>-10.310943546186717</v>
      </c>
      <c r="J13" s="96">
        <f t="shared" si="0"/>
        <v>-8.2891771844017086</v>
      </c>
      <c r="K13" s="96">
        <f t="shared" si="0"/>
        <v>-6.8158181666043349</v>
      </c>
      <c r="L13" s="96">
        <f t="shared" si="0"/>
        <v>-5.6395414882554391</v>
      </c>
      <c r="M13" s="96">
        <f t="shared" si="0"/>
        <v>-4.6478992325131108</v>
      </c>
      <c r="N13" s="96">
        <f t="shared" si="0"/>
        <v>-3.7803788387492538</v>
      </c>
      <c r="O13" s="96">
        <f t="shared" si="0"/>
        <v>-3.0002775321295703</v>
      </c>
      <c r="P13" s="96">
        <f t="shared" si="0"/>
        <v>-2.2832586282486997</v>
      </c>
      <c r="Q13" s="96">
        <f t="shared" si="0"/>
        <v>-1.6119263183854127</v>
      </c>
      <c r="R13" s="96">
        <f t="shared" si="0"/>
        <v>-0.97292778155185367</v>
      </c>
      <c r="S13" s="96">
        <f t="shared" si="0"/>
        <v>-0.35521863339964754</v>
      </c>
      <c r="T13" s="96">
        <f t="shared" si="1"/>
        <v>0.25112825760805818</v>
      </c>
      <c r="U13" s="96">
        <f t="shared" si="1"/>
        <v>0.85591128861506727</v>
      </c>
      <c r="V13" s="96">
        <f t="shared" si="1"/>
        <v>1.4698449507919904</v>
      </c>
      <c r="W13" s="96">
        <f t="shared" si="1"/>
        <v>2.1059744734251424</v>
      </c>
      <c r="X13" s="96">
        <f t="shared" si="1"/>
        <v>2.7820306886474828</v>
      </c>
      <c r="Y13" s="96">
        <f t="shared" si="1"/>
        <v>3.5250701007111305</v>
      </c>
      <c r="Z13" s="96">
        <f t="shared" si="1"/>
        <v>4.3822828019824405</v>
      </c>
      <c r="AA13" s="96">
        <f t="shared" si="1"/>
        <v>5.4522580961846963</v>
      </c>
    </row>
    <row r="14" spans="1:27" x14ac:dyDescent="0.35">
      <c r="B14">
        <v>0.9</v>
      </c>
      <c r="C14" s="96" t="e">
        <f t="shared" si="2"/>
        <v>#NUM!</v>
      </c>
      <c r="D14" s="96">
        <f t="shared" si="0"/>
        <v>-86.687165534677263</v>
      </c>
      <c r="E14" s="96">
        <f t="shared" si="0"/>
        <v>-65.0088462026375</v>
      </c>
      <c r="F14" s="96">
        <f t="shared" si="0"/>
        <v>-43.330330171834539</v>
      </c>
      <c r="G14" s="96">
        <f t="shared" si="0"/>
        <v>-21.63205433269556</v>
      </c>
      <c r="H14" s="96">
        <f t="shared" si="0"/>
        <v>-13.97329727899138</v>
      </c>
      <c r="I14" s="96">
        <f t="shared" si="0"/>
        <v>-10.602759497403973</v>
      </c>
      <c r="J14" s="96">
        <f t="shared" si="0"/>
        <v>-8.5809931356189679</v>
      </c>
      <c r="K14" s="96">
        <f t="shared" si="0"/>
        <v>-7.1076341178215925</v>
      </c>
      <c r="L14" s="96">
        <f t="shared" si="0"/>
        <v>-5.9313574394726967</v>
      </c>
      <c r="M14" s="96">
        <f t="shared" si="0"/>
        <v>-4.9397151837303683</v>
      </c>
      <c r="N14" s="96">
        <f t="shared" si="0"/>
        <v>-4.0721947899665105</v>
      </c>
      <c r="O14" s="96">
        <f t="shared" si="0"/>
        <v>-3.2920934833468278</v>
      </c>
      <c r="P14" s="96">
        <f t="shared" si="0"/>
        <v>-2.5750745794659573</v>
      </c>
      <c r="Q14" s="96">
        <f t="shared" si="0"/>
        <v>-1.90374226960267</v>
      </c>
      <c r="R14" s="96">
        <f t="shared" si="0"/>
        <v>-1.2647437327691107</v>
      </c>
      <c r="S14" s="96">
        <f t="shared" si="0"/>
        <v>-0.64703458461690488</v>
      </c>
      <c r="T14" s="96">
        <f t="shared" si="1"/>
        <v>-4.0687693609199271E-2</v>
      </c>
      <c r="U14" s="96">
        <f t="shared" si="1"/>
        <v>0.56409533739781059</v>
      </c>
      <c r="V14" s="96">
        <f t="shared" si="1"/>
        <v>1.1780289995747331</v>
      </c>
      <c r="W14" s="96">
        <f t="shared" si="1"/>
        <v>1.8141585222078849</v>
      </c>
      <c r="X14" s="96">
        <f t="shared" si="1"/>
        <v>2.4902147374302257</v>
      </c>
      <c r="Y14" s="96">
        <f t="shared" si="1"/>
        <v>3.2332541494938734</v>
      </c>
      <c r="Z14" s="96">
        <f t="shared" si="1"/>
        <v>4.0904668507651829</v>
      </c>
      <c r="AA14" s="96">
        <f t="shared" si="1"/>
        <v>5.1604421449674396</v>
      </c>
    </row>
    <row r="15" spans="1:27" x14ac:dyDescent="0.35">
      <c r="B15">
        <v>1</v>
      </c>
      <c r="C15" s="96" t="e">
        <f t="shared" si="2"/>
        <v>#NUM!</v>
      </c>
      <c r="D15" s="96">
        <f t="shared" si="0"/>
        <v>-86.948203798176664</v>
      </c>
      <c r="E15" s="96">
        <f t="shared" si="0"/>
        <v>-65.269884466136887</v>
      </c>
      <c r="F15" s="96">
        <f t="shared" si="0"/>
        <v>-43.591368435333926</v>
      </c>
      <c r="G15" s="96">
        <f t="shared" si="0"/>
        <v>-21.893092596194954</v>
      </c>
      <c r="H15" s="96">
        <f t="shared" si="0"/>
        <v>-14.234335542490772</v>
      </c>
      <c r="I15" s="96">
        <f t="shared" si="0"/>
        <v>-10.863797760903365</v>
      </c>
      <c r="J15" s="96">
        <f t="shared" si="0"/>
        <v>-8.8420313991183583</v>
      </c>
      <c r="K15" s="96">
        <f t="shared" si="0"/>
        <v>-7.3686723813209847</v>
      </c>
      <c r="L15" s="96">
        <f t="shared" si="0"/>
        <v>-6.1923957029720889</v>
      </c>
      <c r="M15" s="96">
        <f t="shared" si="0"/>
        <v>-5.2007534472297596</v>
      </c>
      <c r="N15" s="96">
        <f t="shared" si="0"/>
        <v>-4.3332330534659027</v>
      </c>
      <c r="O15" s="96">
        <f t="shared" si="0"/>
        <v>-3.55313174684622</v>
      </c>
      <c r="P15" s="96">
        <f t="shared" si="0"/>
        <v>-2.8361128429653495</v>
      </c>
      <c r="Q15" s="96">
        <f t="shared" si="0"/>
        <v>-2.164780533102062</v>
      </c>
      <c r="R15" s="96">
        <f t="shared" si="0"/>
        <v>-1.5257819962685026</v>
      </c>
      <c r="S15" s="96">
        <f t="shared" si="0"/>
        <v>-0.90807284811629663</v>
      </c>
      <c r="T15" s="96">
        <f t="shared" si="1"/>
        <v>-0.30172595710859113</v>
      </c>
      <c r="U15" s="96">
        <f t="shared" si="1"/>
        <v>0.30305707389841813</v>
      </c>
      <c r="V15" s="96">
        <f t="shared" si="1"/>
        <v>0.91699073607534098</v>
      </c>
      <c r="W15" s="96">
        <f t="shared" si="1"/>
        <v>1.5531202587084929</v>
      </c>
      <c r="X15" s="96">
        <f t="shared" si="1"/>
        <v>2.2291764739308335</v>
      </c>
      <c r="Y15" s="96">
        <f t="shared" si="1"/>
        <v>2.9722158859944812</v>
      </c>
      <c r="Z15" s="96">
        <f t="shared" si="1"/>
        <v>3.8294285872657912</v>
      </c>
      <c r="AA15" s="96">
        <f t="shared" si="1"/>
        <v>4.8994038814680474</v>
      </c>
    </row>
    <row r="16" spans="1:27" x14ac:dyDescent="0.35">
      <c r="D16" s="97"/>
      <c r="E16" s="97"/>
      <c r="F16" s="97"/>
      <c r="G16" s="97"/>
      <c r="H16" s="97"/>
      <c r="I16" s="97"/>
      <c r="J16" s="97"/>
    </row>
    <row r="17" spans="1:28" x14ac:dyDescent="0.35">
      <c r="A17" t="s">
        <v>598</v>
      </c>
      <c r="D17" s="98" t="s">
        <v>590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</row>
    <row r="18" spans="1:28" x14ac:dyDescent="0.35">
      <c r="A18">
        <v>1</v>
      </c>
      <c r="B18" t="s">
        <v>591</v>
      </c>
      <c r="C18">
        <v>0</v>
      </c>
      <c r="D18">
        <v>1E-8</v>
      </c>
      <c r="E18">
        <v>9.9999999999999995E-7</v>
      </c>
      <c r="F18">
        <v>1E-4</v>
      </c>
      <c r="G18">
        <v>0.01</v>
      </c>
      <c r="H18">
        <v>0.05</v>
      </c>
      <c r="I18">
        <v>0.1</v>
      </c>
      <c r="J18">
        <v>0.15</v>
      </c>
      <c r="K18">
        <v>0.2</v>
      </c>
      <c r="L18">
        <v>0.25</v>
      </c>
      <c r="M18">
        <v>0.3</v>
      </c>
      <c r="N18">
        <v>0.35</v>
      </c>
      <c r="O18">
        <v>0.4</v>
      </c>
      <c r="P18">
        <v>0.45</v>
      </c>
      <c r="Q18">
        <v>0.5</v>
      </c>
      <c r="R18">
        <v>0.55000000000000004</v>
      </c>
      <c r="S18">
        <v>0.6</v>
      </c>
      <c r="T18">
        <v>0.65</v>
      </c>
      <c r="U18">
        <v>0.7</v>
      </c>
      <c r="V18">
        <v>0.75</v>
      </c>
      <c r="W18">
        <v>0.8</v>
      </c>
      <c r="X18">
        <v>0.85</v>
      </c>
      <c r="Y18">
        <v>0.9</v>
      </c>
      <c r="Z18">
        <v>0.95</v>
      </c>
      <c r="AA18">
        <v>0.99990000000000001</v>
      </c>
      <c r="AB18">
        <v>1</v>
      </c>
    </row>
    <row r="19" spans="1:28" x14ac:dyDescent="0.35">
      <c r="A19">
        <v>274.40659999974702</v>
      </c>
      <c r="B19">
        <v>0</v>
      </c>
      <c r="C19" s="96" t="e">
        <f t="shared" ref="C19:C30" si="3">274.406599999747+0.008314*298*LN((C$18*($A$18*C$18)^($A$18))/($B19*(1-$A$18*C$18)^($A$18)))</f>
        <v>#DIV/0!</v>
      </c>
      <c r="D19" s="96" t="e">
        <f t="shared" ref="D19:T30" si="4">274.406599999747+0.008314*298*LN((D$18*($A$18*D$18)^($A$18))/($B19*(1-$A$18*D$18)^($A$18)))</f>
        <v>#DIV/0!</v>
      </c>
      <c r="E19" s="96" t="e">
        <f t="shared" si="4"/>
        <v>#DIV/0!</v>
      </c>
      <c r="F19" s="96" t="e">
        <f t="shared" si="4"/>
        <v>#DIV/0!</v>
      </c>
      <c r="G19" s="96" t="e">
        <f t="shared" si="4"/>
        <v>#DIV/0!</v>
      </c>
      <c r="H19" s="96" t="e">
        <f t="shared" si="4"/>
        <v>#DIV/0!</v>
      </c>
      <c r="I19" s="96" t="e">
        <f t="shared" si="4"/>
        <v>#DIV/0!</v>
      </c>
      <c r="J19" s="96" t="e">
        <f t="shared" si="4"/>
        <v>#DIV/0!</v>
      </c>
      <c r="K19" s="96" t="e">
        <f t="shared" si="4"/>
        <v>#DIV/0!</v>
      </c>
      <c r="L19" s="96" t="e">
        <f t="shared" si="4"/>
        <v>#DIV/0!</v>
      </c>
      <c r="M19" s="96" t="e">
        <f t="shared" si="4"/>
        <v>#DIV/0!</v>
      </c>
      <c r="N19" s="96" t="e">
        <f t="shared" si="4"/>
        <v>#DIV/0!</v>
      </c>
      <c r="O19" s="96" t="e">
        <f t="shared" si="4"/>
        <v>#DIV/0!</v>
      </c>
      <c r="P19" s="96" t="e">
        <f t="shared" si="4"/>
        <v>#DIV/0!</v>
      </c>
      <c r="Q19" s="96" t="e">
        <f t="shared" si="4"/>
        <v>#DIV/0!</v>
      </c>
      <c r="R19" s="96" t="e">
        <f t="shared" si="4"/>
        <v>#DIV/0!</v>
      </c>
      <c r="S19" s="96" t="e">
        <f t="shared" si="4"/>
        <v>#DIV/0!</v>
      </c>
      <c r="T19" s="96" t="e">
        <f t="shared" si="4"/>
        <v>#DIV/0!</v>
      </c>
      <c r="U19" s="96" t="e">
        <f t="shared" ref="U19:Z30" si="5">274.406599999747+0.008314*298*LN((U$18*($A$18*U$18)^($A$18))/($B19*(1-$A$18*U$18)^($A$18)))</f>
        <v>#DIV/0!</v>
      </c>
      <c r="V19" s="96" t="e">
        <f t="shared" si="5"/>
        <v>#DIV/0!</v>
      </c>
      <c r="W19" s="96" t="e">
        <f t="shared" si="5"/>
        <v>#DIV/0!</v>
      </c>
      <c r="X19" s="96" t="e">
        <f t="shared" si="5"/>
        <v>#DIV/0!</v>
      </c>
      <c r="Y19" s="96" t="e">
        <f t="shared" si="5"/>
        <v>#DIV/0!</v>
      </c>
      <c r="Z19" s="96" t="e">
        <f t="shared" si="5"/>
        <v>#DIV/0!</v>
      </c>
      <c r="AA19" s="96"/>
      <c r="AB19" s="96" t="e">
        <f t="shared" ref="AB19:AB30" si="6">274.406599999747+0.008314*298*LN((AB$18*($A$18*AB$18)^($A$18))/($B19*(1-$A$18*AB$18)^($A$18)))</f>
        <v>#DIV/0!</v>
      </c>
    </row>
    <row r="20" spans="1:28" x14ac:dyDescent="0.35">
      <c r="B20">
        <v>1.0000000000000001E-5</v>
      </c>
      <c r="C20" s="96" t="e">
        <f t="shared" si="3"/>
        <v>#NUM!</v>
      </c>
      <c r="D20" s="96">
        <f t="shared" ref="D20:R20" si="7">274.406599999747+0.008314*298*LN((D$18*($A$18*D$18)^($A$18))/($B20*(1-$A$18*D$18)^($A$18)))</f>
        <v>211.65357613030886</v>
      </c>
      <c r="E20" s="96">
        <f t="shared" si="7"/>
        <v>234.47285999918415</v>
      </c>
      <c r="F20" s="96">
        <f t="shared" si="7"/>
        <v>257.29238670727739</v>
      </c>
      <c r="G20" s="96">
        <f t="shared" si="7"/>
        <v>280.13632078446767</v>
      </c>
      <c r="H20" s="96">
        <f t="shared" si="7"/>
        <v>288.21349979889919</v>
      </c>
      <c r="I20" s="96">
        <f t="shared" si="7"/>
        <v>291.78209932530473</v>
      </c>
      <c r="J20" s="96">
        <f t="shared" si="7"/>
        <v>293.93285140865055</v>
      </c>
      <c r="K20" s="96">
        <f t="shared" si="7"/>
        <v>295.50855936939053</v>
      </c>
      <c r="L20" s="96">
        <f t="shared" si="7"/>
        <v>296.77416663171567</v>
      </c>
      <c r="M20" s="96">
        <f t="shared" si="7"/>
        <v>297.84853100652958</v>
      </c>
      <c r="N20" s="96">
        <f t="shared" si="7"/>
        <v>298.79597765955634</v>
      </c>
      <c r="O20" s="96">
        <f t="shared" si="7"/>
        <v>299.65595650986756</v>
      </c>
      <c r="P20" s="96">
        <f t="shared" si="7"/>
        <v>300.45516536361305</v>
      </c>
      <c r="Q20" s="96">
        <f t="shared" si="7"/>
        <v>301.21337972340996</v>
      </c>
      <c r="R20" s="96">
        <f t="shared" si="7"/>
        <v>301.9466936525057</v>
      </c>
      <c r="S20" s="96">
        <f t="shared" si="4"/>
        <v>302.66966350634482</v>
      </c>
      <c r="T20" s="96">
        <f t="shared" si="4"/>
        <v>303.39712028850465</v>
      </c>
      <c r="U20" s="96">
        <f t="shared" si="5"/>
        <v>304.14625537019532</v>
      </c>
      <c r="V20" s="96">
        <f t="shared" si="5"/>
        <v>304.93983976749576</v>
      </c>
      <c r="W20" s="96">
        <f t="shared" si="5"/>
        <v>305.81249164799613</v>
      </c>
      <c r="X20" s="96">
        <f t="shared" si="5"/>
        <v>306.82564842665062</v>
      </c>
      <c r="Y20" s="96">
        <f t="shared" si="5"/>
        <v>308.11344559686489</v>
      </c>
      <c r="Z20" s="96">
        <f t="shared" si="5"/>
        <v>310.09867851037325</v>
      </c>
      <c r="AA20" s="96">
        <f t="shared" ref="AA20:AA30" si="8">274.406599999747+0.008314*298*LN((AA$18*($A$18*AA$18)^($A$18))/($B20*(1-$A$18*AA$18)^($A$18)))</f>
        <v>325.74948764674491</v>
      </c>
      <c r="AB20" s="96" t="e">
        <f t="shared" si="6"/>
        <v>#DIV/0!</v>
      </c>
    </row>
    <row r="21" spans="1:28" x14ac:dyDescent="0.35">
      <c r="B21">
        <v>0.1</v>
      </c>
      <c r="C21" s="96" t="e">
        <f t="shared" si="3"/>
        <v>#NUM!</v>
      </c>
      <c r="D21" s="96">
        <f t="shared" si="4"/>
        <v>188.83429471423108</v>
      </c>
      <c r="E21" s="96">
        <f t="shared" si="4"/>
        <v>211.65357858310637</v>
      </c>
      <c r="F21" s="96">
        <f t="shared" si="4"/>
        <v>234.4731052911996</v>
      </c>
      <c r="G21" s="96">
        <f t="shared" si="4"/>
        <v>257.31703936838994</v>
      </c>
      <c r="H21" s="96">
        <f t="shared" si="4"/>
        <v>265.39421838282141</v>
      </c>
      <c r="I21" s="96">
        <f t="shared" si="4"/>
        <v>268.96281790922694</v>
      </c>
      <c r="J21" s="96">
        <f t="shared" si="4"/>
        <v>271.11356999257276</v>
      </c>
      <c r="K21" s="96">
        <f t="shared" si="4"/>
        <v>272.68927795331274</v>
      </c>
      <c r="L21" s="96">
        <f t="shared" si="4"/>
        <v>273.95488521563789</v>
      </c>
      <c r="M21" s="96">
        <f t="shared" si="4"/>
        <v>275.0292495904518</v>
      </c>
      <c r="N21" s="96">
        <f t="shared" si="4"/>
        <v>275.97669624347861</v>
      </c>
      <c r="O21" s="96">
        <f t="shared" si="4"/>
        <v>276.83667509378978</v>
      </c>
      <c r="P21" s="96">
        <f t="shared" si="4"/>
        <v>277.63588394753526</v>
      </c>
      <c r="Q21" s="96">
        <f t="shared" si="4"/>
        <v>278.39409830733217</v>
      </c>
      <c r="R21" s="96">
        <f t="shared" si="4"/>
        <v>279.12741223642792</v>
      </c>
      <c r="S21" s="96">
        <f t="shared" si="4"/>
        <v>279.85038209026709</v>
      </c>
      <c r="T21" s="96">
        <f t="shared" ref="T21:T30" si="9">274.406599999747+0.008314*298*LN((T$18*($A$18*T$18)^($A$18))/($B21*(1-$A$18*T$18)^($A$18)))</f>
        <v>280.57783887242687</v>
      </c>
      <c r="U21" s="96">
        <f t="shared" si="5"/>
        <v>281.32697395411753</v>
      </c>
      <c r="V21" s="96">
        <f t="shared" si="5"/>
        <v>282.12055835141797</v>
      </c>
      <c r="W21" s="96">
        <f t="shared" si="5"/>
        <v>282.99321023191834</v>
      </c>
      <c r="X21" s="96">
        <f t="shared" si="5"/>
        <v>284.00636701057283</v>
      </c>
      <c r="Y21" s="96">
        <f t="shared" si="5"/>
        <v>285.29416418078711</v>
      </c>
      <c r="Z21" s="96">
        <f t="shared" si="5"/>
        <v>287.27939709429546</v>
      </c>
      <c r="AA21" s="96">
        <f t="shared" si="8"/>
        <v>302.93020623066712</v>
      </c>
      <c r="AB21" s="96" t="e">
        <f t="shared" si="6"/>
        <v>#DIV/0!</v>
      </c>
    </row>
    <row r="22" spans="1:28" x14ac:dyDescent="0.35">
      <c r="B22">
        <v>0.2</v>
      </c>
      <c r="C22" s="96" t="e">
        <f t="shared" si="3"/>
        <v>#NUM!</v>
      </c>
      <c r="D22" s="96">
        <f t="shared" si="4"/>
        <v>187.1169726677968</v>
      </c>
      <c r="E22" s="96">
        <f t="shared" si="4"/>
        <v>209.93625653667209</v>
      </c>
      <c r="F22" s="96">
        <f t="shared" si="4"/>
        <v>232.75578324476533</v>
      </c>
      <c r="G22" s="96">
        <f t="shared" si="4"/>
        <v>255.59971732195567</v>
      </c>
      <c r="H22" s="96">
        <f t="shared" si="4"/>
        <v>263.67689633638713</v>
      </c>
      <c r="I22" s="96">
        <f t="shared" si="4"/>
        <v>267.24549586279272</v>
      </c>
      <c r="J22" s="96">
        <f t="shared" si="4"/>
        <v>269.39624794613849</v>
      </c>
      <c r="K22" s="96">
        <f t="shared" si="4"/>
        <v>270.97195590687846</v>
      </c>
      <c r="L22" s="96">
        <f t="shared" si="4"/>
        <v>272.23756316920361</v>
      </c>
      <c r="M22" s="96">
        <f t="shared" si="4"/>
        <v>273.31192754401752</v>
      </c>
      <c r="N22" s="96">
        <f t="shared" si="4"/>
        <v>274.25937419704434</v>
      </c>
      <c r="O22" s="96">
        <f t="shared" si="4"/>
        <v>275.1193530473555</v>
      </c>
      <c r="P22" s="96">
        <f t="shared" si="4"/>
        <v>275.91856190110099</v>
      </c>
      <c r="Q22" s="96">
        <f t="shared" si="4"/>
        <v>276.67677626089795</v>
      </c>
      <c r="R22" s="96">
        <f t="shared" si="4"/>
        <v>277.41009018999364</v>
      </c>
      <c r="S22" s="96">
        <f t="shared" si="4"/>
        <v>278.13306004383281</v>
      </c>
      <c r="T22" s="96">
        <f t="shared" si="9"/>
        <v>278.86051682599259</v>
      </c>
      <c r="U22" s="96">
        <f t="shared" si="5"/>
        <v>279.60965190768326</v>
      </c>
      <c r="V22" s="96">
        <f t="shared" si="5"/>
        <v>280.40323630498369</v>
      </c>
      <c r="W22" s="96">
        <f t="shared" si="5"/>
        <v>281.27588818548406</v>
      </c>
      <c r="X22" s="96">
        <f t="shared" si="5"/>
        <v>282.28904496413855</v>
      </c>
      <c r="Y22" s="96">
        <f t="shared" si="5"/>
        <v>283.57684213435283</v>
      </c>
      <c r="Z22" s="96">
        <f t="shared" si="5"/>
        <v>285.56207504786119</v>
      </c>
      <c r="AA22" s="96">
        <f t="shared" si="8"/>
        <v>301.21288418423285</v>
      </c>
      <c r="AB22" s="96" t="e">
        <f t="shared" si="6"/>
        <v>#DIV/0!</v>
      </c>
    </row>
    <row r="23" spans="1:28" x14ac:dyDescent="0.35">
      <c r="B23">
        <v>0.3</v>
      </c>
      <c r="C23" s="96" t="e">
        <f t="shared" si="3"/>
        <v>#NUM!</v>
      </c>
      <c r="D23" s="96">
        <f t="shared" si="4"/>
        <v>186.11240366897107</v>
      </c>
      <c r="E23" s="96">
        <f t="shared" si="4"/>
        <v>208.93168753784636</v>
      </c>
      <c r="F23" s="96">
        <f t="shared" si="4"/>
        <v>231.75121424593956</v>
      </c>
      <c r="G23" s="96">
        <f t="shared" si="4"/>
        <v>254.59514832312988</v>
      </c>
      <c r="H23" s="96">
        <f t="shared" si="4"/>
        <v>262.6723273375614</v>
      </c>
      <c r="I23" s="96">
        <f t="shared" si="4"/>
        <v>266.24092686396693</v>
      </c>
      <c r="J23" s="96">
        <f t="shared" si="4"/>
        <v>268.39167894731276</v>
      </c>
      <c r="K23" s="96">
        <f t="shared" si="4"/>
        <v>269.96738690805273</v>
      </c>
      <c r="L23" s="96">
        <f t="shared" si="4"/>
        <v>271.23299417037788</v>
      </c>
      <c r="M23" s="96">
        <f t="shared" si="4"/>
        <v>272.30735854519179</v>
      </c>
      <c r="N23" s="96">
        <f t="shared" si="4"/>
        <v>273.25480519821855</v>
      </c>
      <c r="O23" s="96">
        <f t="shared" si="4"/>
        <v>274.11478404852977</v>
      </c>
      <c r="P23" s="96">
        <f t="shared" si="4"/>
        <v>274.9139929022752</v>
      </c>
      <c r="Q23" s="96">
        <f t="shared" si="4"/>
        <v>275.67220726207216</v>
      </c>
      <c r="R23" s="96">
        <f t="shared" si="4"/>
        <v>276.40552119116791</v>
      </c>
      <c r="S23" s="96">
        <f t="shared" si="4"/>
        <v>277.12849104500702</v>
      </c>
      <c r="T23" s="96">
        <f t="shared" si="9"/>
        <v>277.85594782716686</v>
      </c>
      <c r="U23" s="96">
        <f t="shared" si="5"/>
        <v>278.60508290885753</v>
      </c>
      <c r="V23" s="96">
        <f t="shared" si="5"/>
        <v>279.39866730615796</v>
      </c>
      <c r="W23" s="96">
        <f t="shared" si="5"/>
        <v>280.27131918665833</v>
      </c>
      <c r="X23" s="96">
        <f t="shared" si="5"/>
        <v>281.28447596531282</v>
      </c>
      <c r="Y23" s="96">
        <f t="shared" si="5"/>
        <v>282.5722731355271</v>
      </c>
      <c r="Z23" s="96">
        <f t="shared" si="5"/>
        <v>284.55750604903545</v>
      </c>
      <c r="AA23" s="96">
        <f t="shared" si="8"/>
        <v>300.20831518540712</v>
      </c>
      <c r="AB23" s="96" t="e">
        <f t="shared" si="6"/>
        <v>#DIV/0!</v>
      </c>
    </row>
    <row r="24" spans="1:28" x14ac:dyDescent="0.35">
      <c r="B24">
        <v>0.4</v>
      </c>
      <c r="C24" s="96" t="e">
        <f t="shared" si="3"/>
        <v>#NUM!</v>
      </c>
      <c r="D24" s="96">
        <f t="shared" si="4"/>
        <v>185.39965062136255</v>
      </c>
      <c r="E24" s="96">
        <f t="shared" si="4"/>
        <v>208.21893449023784</v>
      </c>
      <c r="F24" s="96">
        <f t="shared" si="4"/>
        <v>231.03846119833108</v>
      </c>
      <c r="G24" s="96">
        <f t="shared" si="4"/>
        <v>253.88239527552139</v>
      </c>
      <c r="H24" s="96">
        <f t="shared" si="4"/>
        <v>261.95957428995285</v>
      </c>
      <c r="I24" s="96">
        <f t="shared" si="4"/>
        <v>265.52817381635845</v>
      </c>
      <c r="J24" s="96">
        <f t="shared" si="4"/>
        <v>267.67892589970421</v>
      </c>
      <c r="K24" s="96">
        <f t="shared" si="4"/>
        <v>269.25463386044424</v>
      </c>
      <c r="L24" s="96">
        <f t="shared" si="4"/>
        <v>270.52024112276939</v>
      </c>
      <c r="M24" s="96">
        <f t="shared" si="4"/>
        <v>271.59460549758325</v>
      </c>
      <c r="N24" s="96">
        <f t="shared" si="4"/>
        <v>272.54205215061006</v>
      </c>
      <c r="O24" s="96">
        <f t="shared" si="4"/>
        <v>273.40203100092128</v>
      </c>
      <c r="P24" s="96">
        <f t="shared" si="4"/>
        <v>274.20123985466671</v>
      </c>
      <c r="Q24" s="96">
        <f t="shared" si="4"/>
        <v>274.95945421446368</v>
      </c>
      <c r="R24" s="96">
        <f t="shared" si="4"/>
        <v>275.69276814355936</v>
      </c>
      <c r="S24" s="96">
        <f t="shared" si="4"/>
        <v>276.41573799739854</v>
      </c>
      <c r="T24" s="96">
        <f t="shared" si="9"/>
        <v>277.14319477955831</v>
      </c>
      <c r="U24" s="96">
        <f t="shared" si="5"/>
        <v>277.89232986124898</v>
      </c>
      <c r="V24" s="96">
        <f t="shared" si="5"/>
        <v>278.68591425854947</v>
      </c>
      <c r="W24" s="96">
        <f t="shared" si="5"/>
        <v>279.55856613904979</v>
      </c>
      <c r="X24" s="96">
        <f t="shared" si="5"/>
        <v>280.57172291770428</v>
      </c>
      <c r="Y24" s="96">
        <f t="shared" si="5"/>
        <v>281.85952008791861</v>
      </c>
      <c r="Z24" s="96">
        <f t="shared" si="5"/>
        <v>283.84475300142691</v>
      </c>
      <c r="AA24" s="96">
        <f t="shared" si="8"/>
        <v>299.49556213779863</v>
      </c>
      <c r="AB24" s="96" t="e">
        <f t="shared" si="6"/>
        <v>#DIV/0!</v>
      </c>
    </row>
    <row r="25" spans="1:28" x14ac:dyDescent="0.35">
      <c r="B25">
        <v>0.5</v>
      </c>
      <c r="C25" s="96" t="e">
        <f t="shared" si="3"/>
        <v>#NUM!</v>
      </c>
      <c r="D25" s="96">
        <f t="shared" si="4"/>
        <v>184.84679640664592</v>
      </c>
      <c r="E25" s="96">
        <f t="shared" si="4"/>
        <v>207.66608027552121</v>
      </c>
      <c r="F25" s="96">
        <f t="shared" si="4"/>
        <v>230.48560698361442</v>
      </c>
      <c r="G25" s="96">
        <f t="shared" si="4"/>
        <v>253.32954106080473</v>
      </c>
      <c r="H25" s="96">
        <f t="shared" si="4"/>
        <v>261.40672007523619</v>
      </c>
      <c r="I25" s="96">
        <f t="shared" si="4"/>
        <v>264.97531960164179</v>
      </c>
      <c r="J25" s="96">
        <f t="shared" si="4"/>
        <v>267.12607168498755</v>
      </c>
      <c r="K25" s="96">
        <f t="shared" si="4"/>
        <v>268.70177964572758</v>
      </c>
      <c r="L25" s="96">
        <f t="shared" si="4"/>
        <v>269.96738690805273</v>
      </c>
      <c r="M25" s="96">
        <f t="shared" si="4"/>
        <v>271.04175128286664</v>
      </c>
      <c r="N25" s="96">
        <f t="shared" si="4"/>
        <v>271.9891979358934</v>
      </c>
      <c r="O25" s="96">
        <f t="shared" si="4"/>
        <v>272.84917678620462</v>
      </c>
      <c r="P25" s="96">
        <f t="shared" si="4"/>
        <v>273.64838563995005</v>
      </c>
      <c r="Q25" s="96">
        <f t="shared" si="4"/>
        <v>274.40659999974702</v>
      </c>
      <c r="R25" s="96">
        <f t="shared" si="4"/>
        <v>275.1399139288427</v>
      </c>
      <c r="S25" s="96">
        <f t="shared" si="4"/>
        <v>275.86288378268188</v>
      </c>
      <c r="T25" s="96">
        <f t="shared" si="9"/>
        <v>276.59034056484171</v>
      </c>
      <c r="U25" s="96">
        <f t="shared" si="5"/>
        <v>277.33947564653238</v>
      </c>
      <c r="V25" s="96">
        <f t="shared" si="5"/>
        <v>278.13306004383281</v>
      </c>
      <c r="W25" s="96">
        <f t="shared" si="5"/>
        <v>279.00571192433318</v>
      </c>
      <c r="X25" s="96">
        <f t="shared" si="5"/>
        <v>280.01886870298762</v>
      </c>
      <c r="Y25" s="96">
        <f t="shared" si="5"/>
        <v>281.30666587320195</v>
      </c>
      <c r="Z25" s="96">
        <f t="shared" si="5"/>
        <v>283.29189878671031</v>
      </c>
      <c r="AA25" s="96">
        <f t="shared" si="8"/>
        <v>298.94270792308197</v>
      </c>
      <c r="AB25" s="96" t="e">
        <f t="shared" si="6"/>
        <v>#DIV/0!</v>
      </c>
    </row>
    <row r="26" spans="1:28" x14ac:dyDescent="0.35">
      <c r="B26">
        <v>0.6</v>
      </c>
      <c r="C26" s="96" t="e">
        <f t="shared" si="3"/>
        <v>#NUM!</v>
      </c>
      <c r="D26" s="96">
        <f t="shared" si="4"/>
        <v>184.39508162253679</v>
      </c>
      <c r="E26" s="96">
        <f t="shared" si="4"/>
        <v>207.21436549141208</v>
      </c>
      <c r="F26" s="96">
        <f t="shared" si="4"/>
        <v>230.03389219950532</v>
      </c>
      <c r="G26" s="96">
        <f t="shared" si="4"/>
        <v>252.87782627669563</v>
      </c>
      <c r="H26" s="96">
        <f t="shared" si="4"/>
        <v>260.95500529112712</v>
      </c>
      <c r="I26" s="96">
        <f t="shared" si="4"/>
        <v>264.52360481753266</v>
      </c>
      <c r="J26" s="96">
        <f t="shared" si="4"/>
        <v>266.67435690087848</v>
      </c>
      <c r="K26" s="96">
        <f t="shared" si="4"/>
        <v>268.25006486161845</v>
      </c>
      <c r="L26" s="96">
        <f t="shared" si="4"/>
        <v>269.5156721239436</v>
      </c>
      <c r="M26" s="96">
        <f t="shared" si="4"/>
        <v>270.59003649875751</v>
      </c>
      <c r="N26" s="96">
        <f t="shared" si="4"/>
        <v>271.53748315178433</v>
      </c>
      <c r="O26" s="96">
        <f t="shared" si="4"/>
        <v>272.39746200209549</v>
      </c>
      <c r="P26" s="96">
        <f t="shared" si="4"/>
        <v>273.19667085584098</v>
      </c>
      <c r="Q26" s="96">
        <f t="shared" si="4"/>
        <v>273.95488521563789</v>
      </c>
      <c r="R26" s="96">
        <f t="shared" si="4"/>
        <v>274.68819914473363</v>
      </c>
      <c r="S26" s="96">
        <f t="shared" si="4"/>
        <v>275.4111689985728</v>
      </c>
      <c r="T26" s="96">
        <f t="shared" si="9"/>
        <v>276.13862578073258</v>
      </c>
      <c r="U26" s="96">
        <f t="shared" si="5"/>
        <v>276.88776086242325</v>
      </c>
      <c r="V26" s="96">
        <f t="shared" si="5"/>
        <v>277.68134525972368</v>
      </c>
      <c r="W26" s="96">
        <f t="shared" si="5"/>
        <v>278.55399714022406</v>
      </c>
      <c r="X26" s="96">
        <f t="shared" si="5"/>
        <v>279.56715391887855</v>
      </c>
      <c r="Y26" s="96">
        <f t="shared" si="5"/>
        <v>280.85495108909282</v>
      </c>
      <c r="Z26" s="96">
        <f t="shared" si="5"/>
        <v>282.84018400260118</v>
      </c>
      <c r="AA26" s="96">
        <f t="shared" si="8"/>
        <v>298.49099313897284</v>
      </c>
      <c r="AB26" s="96" t="e">
        <f t="shared" si="6"/>
        <v>#DIV/0!</v>
      </c>
    </row>
    <row r="27" spans="1:28" x14ac:dyDescent="0.35">
      <c r="B27">
        <v>0.7</v>
      </c>
      <c r="C27" s="96" t="e">
        <f t="shared" si="3"/>
        <v>#NUM!</v>
      </c>
      <c r="D27" s="96">
        <f t="shared" si="4"/>
        <v>184.01316221441581</v>
      </c>
      <c r="E27" s="96">
        <f t="shared" si="4"/>
        <v>206.8324460832911</v>
      </c>
      <c r="F27" s="96">
        <f t="shared" si="4"/>
        <v>229.65197279138434</v>
      </c>
      <c r="G27" s="96">
        <f t="shared" si="4"/>
        <v>252.49590686857465</v>
      </c>
      <c r="H27" s="96">
        <f t="shared" si="4"/>
        <v>260.57308588300612</v>
      </c>
      <c r="I27" s="96">
        <f t="shared" si="4"/>
        <v>264.14168540941171</v>
      </c>
      <c r="J27" s="96">
        <f t="shared" si="4"/>
        <v>266.29243749275747</v>
      </c>
      <c r="K27" s="96">
        <f t="shared" si="4"/>
        <v>267.8681454534975</v>
      </c>
      <c r="L27" s="96">
        <f t="shared" si="4"/>
        <v>269.13375271582265</v>
      </c>
      <c r="M27" s="96">
        <f t="shared" si="4"/>
        <v>270.20811709063651</v>
      </c>
      <c r="N27" s="96">
        <f t="shared" si="4"/>
        <v>271.15556374366332</v>
      </c>
      <c r="O27" s="96">
        <f t="shared" si="4"/>
        <v>272.01554259397449</v>
      </c>
      <c r="P27" s="96">
        <f t="shared" si="4"/>
        <v>272.81475144771997</v>
      </c>
      <c r="Q27" s="96">
        <f t="shared" si="4"/>
        <v>273.57296580751694</v>
      </c>
      <c r="R27" s="96">
        <f t="shared" si="4"/>
        <v>274.30627973661262</v>
      </c>
      <c r="S27" s="96">
        <f t="shared" si="4"/>
        <v>275.0292495904518</v>
      </c>
      <c r="T27" s="96">
        <f t="shared" si="9"/>
        <v>275.75670637261157</v>
      </c>
      <c r="U27" s="96">
        <f t="shared" si="5"/>
        <v>276.50584145430224</v>
      </c>
      <c r="V27" s="96">
        <f t="shared" si="5"/>
        <v>277.29942585160273</v>
      </c>
      <c r="W27" s="96">
        <f t="shared" si="5"/>
        <v>278.17207773210305</v>
      </c>
      <c r="X27" s="96">
        <f t="shared" si="5"/>
        <v>279.18523451075754</v>
      </c>
      <c r="Y27" s="96">
        <f t="shared" si="5"/>
        <v>280.47303168097187</v>
      </c>
      <c r="Z27" s="96">
        <f t="shared" si="5"/>
        <v>282.45826459448017</v>
      </c>
      <c r="AA27" s="96">
        <f t="shared" si="8"/>
        <v>298.10907373085189</v>
      </c>
      <c r="AB27" s="96" t="e">
        <f t="shared" si="6"/>
        <v>#DIV/0!</v>
      </c>
    </row>
    <row r="28" spans="1:28" x14ac:dyDescent="0.35">
      <c r="B28">
        <v>0.8</v>
      </c>
      <c r="C28" s="96" t="e">
        <f t="shared" si="3"/>
        <v>#NUM!</v>
      </c>
      <c r="D28" s="96">
        <f t="shared" si="4"/>
        <v>183.68232857492831</v>
      </c>
      <c r="E28" s="96">
        <f t="shared" si="4"/>
        <v>206.50161244380359</v>
      </c>
      <c r="F28" s="96">
        <f t="shared" si="4"/>
        <v>229.3211391518968</v>
      </c>
      <c r="G28" s="96">
        <f t="shared" si="4"/>
        <v>252.16507322908711</v>
      </c>
      <c r="H28" s="96">
        <f t="shared" si="4"/>
        <v>260.24225224351858</v>
      </c>
      <c r="I28" s="96">
        <f t="shared" si="4"/>
        <v>263.81085176992417</v>
      </c>
      <c r="J28" s="96">
        <f t="shared" si="4"/>
        <v>265.96160385326993</v>
      </c>
      <c r="K28" s="96">
        <f t="shared" si="4"/>
        <v>267.53731181400997</v>
      </c>
      <c r="L28" s="96">
        <f t="shared" si="4"/>
        <v>268.80291907633512</v>
      </c>
      <c r="M28" s="96">
        <f t="shared" si="4"/>
        <v>269.87728345114903</v>
      </c>
      <c r="N28" s="96">
        <f t="shared" si="4"/>
        <v>270.82473010417579</v>
      </c>
      <c r="O28" s="96">
        <f t="shared" si="4"/>
        <v>271.68470895448701</v>
      </c>
      <c r="P28" s="96">
        <f t="shared" si="4"/>
        <v>272.48391780823243</v>
      </c>
      <c r="Q28" s="96">
        <f t="shared" si="4"/>
        <v>273.2421321680294</v>
      </c>
      <c r="R28" s="96">
        <f t="shared" si="4"/>
        <v>273.97544609712509</v>
      </c>
      <c r="S28" s="96">
        <f t="shared" si="4"/>
        <v>274.69841595096426</v>
      </c>
      <c r="T28" s="96">
        <f t="shared" si="9"/>
        <v>275.42587273312409</v>
      </c>
      <c r="U28" s="96">
        <f t="shared" si="5"/>
        <v>276.17500781481476</v>
      </c>
      <c r="V28" s="96">
        <f t="shared" si="5"/>
        <v>276.9685922121152</v>
      </c>
      <c r="W28" s="96">
        <f t="shared" si="5"/>
        <v>277.84124409261557</v>
      </c>
      <c r="X28" s="96">
        <f t="shared" si="5"/>
        <v>278.85440087127</v>
      </c>
      <c r="Y28" s="96">
        <f t="shared" si="5"/>
        <v>280.14219804148433</v>
      </c>
      <c r="Z28" s="96">
        <f t="shared" si="5"/>
        <v>282.12743095499269</v>
      </c>
      <c r="AA28" s="96">
        <f t="shared" si="8"/>
        <v>297.77824009136435</v>
      </c>
      <c r="AB28" s="96" t="e">
        <f t="shared" si="6"/>
        <v>#DIV/0!</v>
      </c>
    </row>
    <row r="29" spans="1:28" x14ac:dyDescent="0.35">
      <c r="B29">
        <v>0.9</v>
      </c>
      <c r="C29" s="96" t="e">
        <f t="shared" si="3"/>
        <v>#NUM!</v>
      </c>
      <c r="D29" s="96">
        <f t="shared" si="4"/>
        <v>183.39051262371103</v>
      </c>
      <c r="E29" s="96">
        <f t="shared" si="4"/>
        <v>206.20979649258635</v>
      </c>
      <c r="F29" s="96">
        <f t="shared" si="4"/>
        <v>229.02932320067956</v>
      </c>
      <c r="G29" s="96">
        <f t="shared" si="4"/>
        <v>251.87325727786987</v>
      </c>
      <c r="H29" s="96">
        <f t="shared" si="4"/>
        <v>259.95043629230133</v>
      </c>
      <c r="I29" s="96">
        <f t="shared" si="4"/>
        <v>263.51903581870693</v>
      </c>
      <c r="J29" s="96">
        <f t="shared" si="4"/>
        <v>265.66978790205269</v>
      </c>
      <c r="K29" s="96">
        <f t="shared" si="4"/>
        <v>267.24549586279272</v>
      </c>
      <c r="L29" s="96">
        <f t="shared" si="4"/>
        <v>268.51110312511787</v>
      </c>
      <c r="M29" s="96">
        <f t="shared" si="4"/>
        <v>269.58546749993172</v>
      </c>
      <c r="N29" s="96">
        <f t="shared" si="4"/>
        <v>270.53291415295854</v>
      </c>
      <c r="O29" s="96">
        <f t="shared" si="4"/>
        <v>271.39289300326971</v>
      </c>
      <c r="P29" s="96">
        <f t="shared" si="4"/>
        <v>272.19210185701519</v>
      </c>
      <c r="Q29" s="96">
        <f t="shared" si="4"/>
        <v>272.95031621681215</v>
      </c>
      <c r="R29" s="96">
        <f t="shared" si="4"/>
        <v>273.68363014590784</v>
      </c>
      <c r="S29" s="96">
        <f t="shared" si="4"/>
        <v>274.40659999974702</v>
      </c>
      <c r="T29" s="96">
        <f t="shared" si="9"/>
        <v>275.13405678190679</v>
      </c>
      <c r="U29" s="96">
        <f t="shared" si="5"/>
        <v>275.88319186359746</v>
      </c>
      <c r="V29" s="96">
        <f t="shared" si="5"/>
        <v>276.67677626089795</v>
      </c>
      <c r="W29" s="96">
        <f t="shared" si="5"/>
        <v>277.54942814139827</v>
      </c>
      <c r="X29" s="96">
        <f t="shared" si="5"/>
        <v>278.56258492005276</v>
      </c>
      <c r="Y29" s="96">
        <f t="shared" si="5"/>
        <v>279.85038209026709</v>
      </c>
      <c r="Z29" s="96">
        <f t="shared" si="5"/>
        <v>281.83561500377539</v>
      </c>
      <c r="AA29" s="96">
        <f t="shared" si="8"/>
        <v>297.48642414014711</v>
      </c>
      <c r="AB29" s="96" t="e">
        <f t="shared" si="6"/>
        <v>#DIV/0!</v>
      </c>
    </row>
    <row r="30" spans="1:28" x14ac:dyDescent="0.35">
      <c r="B30">
        <v>1</v>
      </c>
      <c r="C30" s="96" t="e">
        <f t="shared" si="3"/>
        <v>#NUM!</v>
      </c>
      <c r="D30" s="96">
        <f t="shared" si="4"/>
        <v>183.12947436021165</v>
      </c>
      <c r="E30" s="96">
        <f t="shared" si="4"/>
        <v>205.94875822908693</v>
      </c>
      <c r="F30" s="96">
        <f t="shared" si="4"/>
        <v>228.76828493718014</v>
      </c>
      <c r="G30" s="96">
        <f t="shared" si="4"/>
        <v>251.61221901437048</v>
      </c>
      <c r="H30" s="96">
        <f t="shared" si="4"/>
        <v>259.68939802880197</v>
      </c>
      <c r="I30" s="96">
        <f t="shared" si="4"/>
        <v>263.25799755520751</v>
      </c>
      <c r="J30" s="96">
        <f t="shared" si="4"/>
        <v>265.40874963855333</v>
      </c>
      <c r="K30" s="96">
        <f t="shared" si="4"/>
        <v>266.98445759929331</v>
      </c>
      <c r="L30" s="96">
        <f t="shared" si="4"/>
        <v>268.25006486161845</v>
      </c>
      <c r="M30" s="96">
        <f t="shared" si="4"/>
        <v>269.32442923643237</v>
      </c>
      <c r="N30" s="96">
        <f t="shared" si="4"/>
        <v>270.27187588945918</v>
      </c>
      <c r="O30" s="96">
        <f t="shared" si="4"/>
        <v>271.13185473977035</v>
      </c>
      <c r="P30" s="96">
        <f t="shared" si="4"/>
        <v>271.93106359351583</v>
      </c>
      <c r="Q30" s="96">
        <f t="shared" si="4"/>
        <v>272.68927795331274</v>
      </c>
      <c r="R30" s="96">
        <f t="shared" si="4"/>
        <v>273.42259188240848</v>
      </c>
      <c r="S30" s="96">
        <f t="shared" si="4"/>
        <v>274.1455617362476</v>
      </c>
      <c r="T30" s="96">
        <f t="shared" si="9"/>
        <v>274.87301851840743</v>
      </c>
      <c r="U30" s="96">
        <f t="shared" si="5"/>
        <v>275.6221536000981</v>
      </c>
      <c r="V30" s="96">
        <f t="shared" si="5"/>
        <v>276.41573799739854</v>
      </c>
      <c r="W30" s="96">
        <f t="shared" si="5"/>
        <v>277.28838987789891</v>
      </c>
      <c r="X30" s="96">
        <f t="shared" si="5"/>
        <v>278.3015466565534</v>
      </c>
      <c r="Y30" s="96">
        <f t="shared" si="5"/>
        <v>279.58934382676767</v>
      </c>
      <c r="Z30" s="96">
        <f t="shared" si="5"/>
        <v>281.57457674027603</v>
      </c>
      <c r="AA30" s="96">
        <f t="shared" si="8"/>
        <v>297.22538587664769</v>
      </c>
      <c r="AB30" s="96" t="e">
        <f t="shared" si="6"/>
        <v>#DIV/0!</v>
      </c>
    </row>
    <row r="32" spans="1:28" x14ac:dyDescent="0.35">
      <c r="A32" t="s">
        <v>593</v>
      </c>
      <c r="B32" t="s">
        <v>594</v>
      </c>
      <c r="D32" s="98" t="s">
        <v>590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</row>
    <row r="33" spans="1:27" x14ac:dyDescent="0.35">
      <c r="A33">
        <v>2</v>
      </c>
      <c r="B33" t="s">
        <v>591</v>
      </c>
      <c r="C33">
        <v>0</v>
      </c>
      <c r="D33">
        <v>1E-8</v>
      </c>
      <c r="E33">
        <v>9.9999999999999995E-7</v>
      </c>
      <c r="F33">
        <v>1E-4</v>
      </c>
      <c r="G33">
        <v>0.01</v>
      </c>
      <c r="H33">
        <v>0.05</v>
      </c>
      <c r="I33">
        <v>0.1</v>
      </c>
      <c r="J33">
        <v>0.15</v>
      </c>
      <c r="K33">
        <v>0.2</v>
      </c>
      <c r="L33">
        <v>0.25</v>
      </c>
      <c r="M33">
        <v>0.3</v>
      </c>
      <c r="N33">
        <v>0.35</v>
      </c>
      <c r="O33">
        <v>0.4</v>
      </c>
      <c r="P33">
        <v>0.45</v>
      </c>
      <c r="Q33">
        <v>0.5</v>
      </c>
      <c r="R33">
        <v>0.55000000000000004</v>
      </c>
      <c r="S33">
        <v>0.6</v>
      </c>
      <c r="T33">
        <v>0.65</v>
      </c>
      <c r="U33">
        <v>0.7</v>
      </c>
      <c r="V33">
        <v>0.75</v>
      </c>
      <c r="W33">
        <v>0.8</v>
      </c>
      <c r="X33">
        <v>0.85</v>
      </c>
      <c r="Y33">
        <v>0.9</v>
      </c>
      <c r="Z33">
        <v>0.95</v>
      </c>
      <c r="AA33">
        <v>1</v>
      </c>
    </row>
    <row r="34" spans="1:27" x14ac:dyDescent="0.35">
      <c r="A34">
        <v>274.40659999974702</v>
      </c>
      <c r="B34">
        <v>0</v>
      </c>
      <c r="C34" s="96" t="e">
        <f>274.406599999747+0.008314*298*LN((C$33*($A$33*C$33)^($A$33))/($B34*(1-$A$33*C$33)^($A$33)))</f>
        <v>#DIV/0!</v>
      </c>
      <c r="D34" s="96" t="e">
        <f t="shared" ref="D34:T45" si="10">274.406599999747+0.008314*298*LN((D$33*($A$33*D$33)^($A$33))/($B34*(1-$A$33*D$33)^($A$33)))</f>
        <v>#DIV/0!</v>
      </c>
      <c r="E34" s="96" t="e">
        <f t="shared" si="10"/>
        <v>#DIV/0!</v>
      </c>
      <c r="F34" s="96" t="e">
        <f t="shared" si="10"/>
        <v>#DIV/0!</v>
      </c>
      <c r="G34" s="96" t="e">
        <f t="shared" si="10"/>
        <v>#DIV/0!</v>
      </c>
      <c r="H34" s="96" t="e">
        <f t="shared" si="10"/>
        <v>#DIV/0!</v>
      </c>
      <c r="I34" s="96" t="e">
        <f t="shared" si="10"/>
        <v>#DIV/0!</v>
      </c>
      <c r="J34" s="96" t="e">
        <f t="shared" si="10"/>
        <v>#DIV/0!</v>
      </c>
      <c r="K34" s="96" t="e">
        <f t="shared" si="10"/>
        <v>#DIV/0!</v>
      </c>
      <c r="L34" s="96" t="e">
        <f t="shared" si="10"/>
        <v>#DIV/0!</v>
      </c>
      <c r="M34" s="96" t="e">
        <f t="shared" si="10"/>
        <v>#DIV/0!</v>
      </c>
      <c r="N34" s="96" t="e">
        <f t="shared" si="10"/>
        <v>#DIV/0!</v>
      </c>
      <c r="O34" s="96" t="e">
        <f t="shared" si="10"/>
        <v>#DIV/0!</v>
      </c>
      <c r="P34" s="96" t="e">
        <f t="shared" si="10"/>
        <v>#DIV/0!</v>
      </c>
      <c r="Q34" s="96" t="e">
        <f t="shared" si="10"/>
        <v>#DIV/0!</v>
      </c>
      <c r="R34" s="96" t="e">
        <f t="shared" si="10"/>
        <v>#DIV/0!</v>
      </c>
      <c r="S34" s="96" t="e">
        <f t="shared" si="10"/>
        <v>#DIV/0!</v>
      </c>
      <c r="T34" s="96" t="e">
        <f t="shared" si="10"/>
        <v>#DIV/0!</v>
      </c>
      <c r="U34" s="96" t="e">
        <f t="shared" ref="T34:AA45" si="11">274.406599999747+0.008314*298*LN((U$33*($A$33*U$33)^($A$33))/($B34*(1-$A$33*U$33)^($A$33)))</f>
        <v>#DIV/0!</v>
      </c>
      <c r="V34" s="96" t="e">
        <f t="shared" si="11"/>
        <v>#DIV/0!</v>
      </c>
      <c r="W34" s="96" t="e">
        <f t="shared" si="11"/>
        <v>#DIV/0!</v>
      </c>
      <c r="X34" s="96" t="e">
        <f t="shared" si="11"/>
        <v>#DIV/0!</v>
      </c>
      <c r="Y34" s="96" t="e">
        <f t="shared" si="11"/>
        <v>#DIV/0!</v>
      </c>
      <c r="Z34" s="96" t="e">
        <f t="shared" si="11"/>
        <v>#DIV/0!</v>
      </c>
      <c r="AA34" s="96" t="e">
        <f t="shared" si="11"/>
        <v>#DIV/0!</v>
      </c>
    </row>
    <row r="35" spans="1:27" x14ac:dyDescent="0.35">
      <c r="B35">
        <v>1.0000000000000001E-5</v>
      </c>
      <c r="C35" s="96" t="e">
        <f t="shared" ref="C35:Q45" si="12">274.406599999747+0.008314*298*LN((C$33*($A$33*C$33)^($A$33))/($B35*(1-$A$33*C$33)^($A$33)))</f>
        <v>#NUM!</v>
      </c>
      <c r="D35" s="96">
        <f t="shared" si="12"/>
        <v>169.44965746534899</v>
      </c>
      <c r="E35" s="96">
        <f t="shared" si="12"/>
        <v>203.67858940066071</v>
      </c>
      <c r="F35" s="96">
        <f t="shared" si="12"/>
        <v>237.90849274239554</v>
      </c>
      <c r="G35" s="96">
        <f t="shared" si="12"/>
        <v>272.23653106254426</v>
      </c>
      <c r="H35" s="96">
        <f t="shared" si="12"/>
        <v>284.62099518835043</v>
      </c>
      <c r="I35" s="96">
        <f t="shared" si="12"/>
        <v>290.35659323008775</v>
      </c>
      <c r="J35" s="96">
        <f t="shared" si="12"/>
        <v>294.03196750554008</v>
      </c>
      <c r="K35" s="96">
        <f t="shared" si="12"/>
        <v>296.93406546460756</v>
      </c>
      <c r="L35" s="96">
        <f t="shared" si="12"/>
        <v>299.49605767697568</v>
      </c>
      <c r="M35" s="96">
        <f t="shared" si="12"/>
        <v>301.95691045873633</v>
      </c>
      <c r="N35" s="96">
        <f t="shared" si="12"/>
        <v>304.52817477831627</v>
      </c>
      <c r="O35" s="96">
        <f t="shared" si="12"/>
        <v>307.5298136944304</v>
      </c>
      <c r="P35" s="96">
        <f t="shared" si="12"/>
        <v>311.83990564095069</v>
      </c>
      <c r="Q35" s="96" t="e">
        <f t="shared" si="12"/>
        <v>#DIV/0!</v>
      </c>
      <c r="R35" s="96">
        <f t="shared" si="10"/>
        <v>313.33143392984334</v>
      </c>
      <c r="S35" s="96">
        <f t="shared" si="10"/>
        <v>310.54352069090766</v>
      </c>
      <c r="T35" s="96">
        <f t="shared" si="10"/>
        <v>309.12931740726458</v>
      </c>
      <c r="U35" s="96">
        <f t="shared" si="11"/>
        <v>308.25463482240207</v>
      </c>
      <c r="V35" s="96">
        <f t="shared" si="11"/>
        <v>307.66173081275576</v>
      </c>
      <c r="W35" s="96">
        <f t="shared" si="11"/>
        <v>307.2379977432131</v>
      </c>
      <c r="X35" s="96">
        <f t="shared" si="11"/>
        <v>306.92476452354015</v>
      </c>
      <c r="Y35" s="96">
        <f t="shared" si="11"/>
        <v>306.68793950164786</v>
      </c>
      <c r="Z35" s="96">
        <f t="shared" si="11"/>
        <v>306.50617389982449</v>
      </c>
      <c r="AA35" s="96">
        <f t="shared" si="11"/>
        <v>306.36534586271279</v>
      </c>
    </row>
    <row r="36" spans="1:27" x14ac:dyDescent="0.35">
      <c r="B36">
        <v>0.1</v>
      </c>
      <c r="C36" s="96" t="e">
        <f t="shared" si="12"/>
        <v>#NUM!</v>
      </c>
      <c r="D36" s="96">
        <f t="shared" si="10"/>
        <v>146.63037604927121</v>
      </c>
      <c r="E36" s="96">
        <f t="shared" si="10"/>
        <v>180.85930798458293</v>
      </c>
      <c r="F36" s="96">
        <f t="shared" si="10"/>
        <v>215.08921132631775</v>
      </c>
      <c r="G36" s="96">
        <f t="shared" si="10"/>
        <v>249.4172496464665</v>
      </c>
      <c r="H36" s="96">
        <f t="shared" si="10"/>
        <v>261.80171377227265</v>
      </c>
      <c r="I36" s="96">
        <f t="shared" si="10"/>
        <v>267.53731181400997</v>
      </c>
      <c r="J36" s="96">
        <f t="shared" si="10"/>
        <v>271.2126860894623</v>
      </c>
      <c r="K36" s="96">
        <f t="shared" si="10"/>
        <v>274.11478404852977</v>
      </c>
      <c r="L36" s="96">
        <f t="shared" si="10"/>
        <v>276.67677626089795</v>
      </c>
      <c r="M36" s="96">
        <f t="shared" si="10"/>
        <v>279.13762904265855</v>
      </c>
      <c r="N36" s="96">
        <f t="shared" si="10"/>
        <v>281.70889336223848</v>
      </c>
      <c r="O36" s="96">
        <f t="shared" si="10"/>
        <v>284.71053227835262</v>
      </c>
      <c r="P36" s="96">
        <f t="shared" si="10"/>
        <v>289.0206242248729</v>
      </c>
      <c r="Q36" s="96" t="e">
        <f t="shared" si="10"/>
        <v>#DIV/0!</v>
      </c>
      <c r="R36" s="96">
        <f t="shared" si="10"/>
        <v>290.51215251376556</v>
      </c>
      <c r="S36" s="96">
        <f t="shared" si="10"/>
        <v>287.72423927482987</v>
      </c>
      <c r="T36" s="96">
        <f t="shared" si="11"/>
        <v>286.31003599118679</v>
      </c>
      <c r="U36" s="96">
        <f t="shared" si="11"/>
        <v>285.43535340632428</v>
      </c>
      <c r="V36" s="96">
        <f t="shared" si="11"/>
        <v>284.84244939667803</v>
      </c>
      <c r="W36" s="96">
        <f t="shared" si="11"/>
        <v>284.41871632713537</v>
      </c>
      <c r="X36" s="96">
        <f t="shared" si="11"/>
        <v>284.10548310746236</v>
      </c>
      <c r="Y36" s="96">
        <f t="shared" si="11"/>
        <v>283.86865808557013</v>
      </c>
      <c r="Z36" s="96">
        <f t="shared" si="11"/>
        <v>283.6868924837467</v>
      </c>
      <c r="AA36" s="96">
        <f t="shared" si="11"/>
        <v>283.546064446635</v>
      </c>
    </row>
    <row r="37" spans="1:27" x14ac:dyDescent="0.35">
      <c r="B37">
        <v>0.2</v>
      </c>
      <c r="C37" s="96" t="e">
        <f t="shared" si="12"/>
        <v>#NUM!</v>
      </c>
      <c r="D37" s="96">
        <f t="shared" si="10"/>
        <v>144.91305400283696</v>
      </c>
      <c r="E37" s="96">
        <f t="shared" si="10"/>
        <v>179.14198593814865</v>
      </c>
      <c r="F37" s="96">
        <f t="shared" si="10"/>
        <v>213.3718892798835</v>
      </c>
      <c r="G37" s="96">
        <f t="shared" si="10"/>
        <v>247.69992760003223</v>
      </c>
      <c r="H37" s="96">
        <f t="shared" si="10"/>
        <v>260.08439172583837</v>
      </c>
      <c r="I37" s="96">
        <f t="shared" si="10"/>
        <v>265.81998976757569</v>
      </c>
      <c r="J37" s="96">
        <f t="shared" si="10"/>
        <v>269.49536404302802</v>
      </c>
      <c r="K37" s="96">
        <f t="shared" si="10"/>
        <v>272.39746200209549</v>
      </c>
      <c r="L37" s="96">
        <f t="shared" si="10"/>
        <v>274.95945421446368</v>
      </c>
      <c r="M37" s="96">
        <f t="shared" si="10"/>
        <v>277.42030699622433</v>
      </c>
      <c r="N37" s="96">
        <f t="shared" si="10"/>
        <v>279.99157131580426</v>
      </c>
      <c r="O37" s="96">
        <f t="shared" si="10"/>
        <v>282.99321023191834</v>
      </c>
      <c r="P37" s="96">
        <f t="shared" si="10"/>
        <v>287.30330217843863</v>
      </c>
      <c r="Q37" s="96" t="e">
        <f t="shared" si="10"/>
        <v>#DIV/0!</v>
      </c>
      <c r="R37" s="96">
        <f t="shared" si="10"/>
        <v>288.79483046733128</v>
      </c>
      <c r="S37" s="96">
        <f t="shared" si="10"/>
        <v>286.00691722839565</v>
      </c>
      <c r="T37" s="96">
        <f t="shared" si="11"/>
        <v>284.59271394475252</v>
      </c>
      <c r="U37" s="96">
        <f t="shared" si="11"/>
        <v>283.71803135989001</v>
      </c>
      <c r="V37" s="96">
        <f t="shared" si="11"/>
        <v>283.12512735024376</v>
      </c>
      <c r="W37" s="96">
        <f t="shared" si="11"/>
        <v>282.70139428070109</v>
      </c>
      <c r="X37" s="96">
        <f t="shared" si="11"/>
        <v>282.38816106102809</v>
      </c>
      <c r="Y37" s="96">
        <f t="shared" si="11"/>
        <v>282.15133603913586</v>
      </c>
      <c r="Z37" s="96">
        <f t="shared" si="11"/>
        <v>281.96957043731243</v>
      </c>
      <c r="AA37" s="96">
        <f t="shared" si="11"/>
        <v>281.82874240020072</v>
      </c>
    </row>
    <row r="38" spans="1:27" x14ac:dyDescent="0.35">
      <c r="B38">
        <v>0.3</v>
      </c>
      <c r="C38" s="96" t="e">
        <f t="shared" si="12"/>
        <v>#NUM!</v>
      </c>
      <c r="D38" s="96">
        <f t="shared" si="10"/>
        <v>143.9084850040112</v>
      </c>
      <c r="E38" s="96">
        <f t="shared" si="10"/>
        <v>178.13741693932289</v>
      </c>
      <c r="F38" s="96">
        <f t="shared" si="10"/>
        <v>212.36732028105774</v>
      </c>
      <c r="G38" s="96">
        <f t="shared" si="10"/>
        <v>246.69535860120646</v>
      </c>
      <c r="H38" s="96">
        <f t="shared" si="10"/>
        <v>259.07982272701264</v>
      </c>
      <c r="I38" s="96">
        <f t="shared" si="10"/>
        <v>264.81542076874996</v>
      </c>
      <c r="J38" s="96">
        <f t="shared" si="10"/>
        <v>268.49079504420229</v>
      </c>
      <c r="K38" s="96">
        <f t="shared" si="10"/>
        <v>271.39289300326971</v>
      </c>
      <c r="L38" s="96">
        <f t="shared" si="10"/>
        <v>273.95488521563789</v>
      </c>
      <c r="M38" s="96">
        <f t="shared" si="10"/>
        <v>276.41573799739854</v>
      </c>
      <c r="N38" s="96">
        <f t="shared" si="10"/>
        <v>278.98700231697848</v>
      </c>
      <c r="O38" s="96">
        <f t="shared" si="10"/>
        <v>281.98864123309261</v>
      </c>
      <c r="P38" s="96">
        <f t="shared" si="10"/>
        <v>286.2987331796129</v>
      </c>
      <c r="Q38" s="96" t="e">
        <f t="shared" si="10"/>
        <v>#DIV/0!</v>
      </c>
      <c r="R38" s="96">
        <f t="shared" si="10"/>
        <v>287.79026146850555</v>
      </c>
      <c r="S38" s="96">
        <f t="shared" si="10"/>
        <v>285.00234822956986</v>
      </c>
      <c r="T38" s="96">
        <f t="shared" si="11"/>
        <v>283.58814494592673</v>
      </c>
      <c r="U38" s="96">
        <f t="shared" si="11"/>
        <v>282.71346236106427</v>
      </c>
      <c r="V38" s="96">
        <f t="shared" si="11"/>
        <v>282.12055835141797</v>
      </c>
      <c r="W38" s="96">
        <f t="shared" si="11"/>
        <v>281.69682528187531</v>
      </c>
      <c r="X38" s="96">
        <f t="shared" si="11"/>
        <v>281.3835920622023</v>
      </c>
      <c r="Y38" s="96">
        <f t="shared" si="11"/>
        <v>281.14676704031007</v>
      </c>
      <c r="Z38" s="96">
        <f t="shared" si="11"/>
        <v>280.96500143848669</v>
      </c>
      <c r="AA38" s="96">
        <f t="shared" si="11"/>
        <v>280.82417340137499</v>
      </c>
    </row>
    <row r="39" spans="1:27" x14ac:dyDescent="0.35">
      <c r="B39">
        <v>0.4</v>
      </c>
      <c r="C39" s="96" t="e">
        <f t="shared" si="12"/>
        <v>#NUM!</v>
      </c>
      <c r="D39" s="96">
        <f t="shared" si="10"/>
        <v>143.19573195640271</v>
      </c>
      <c r="E39" s="96">
        <f t="shared" si="10"/>
        <v>177.42466389171437</v>
      </c>
      <c r="F39" s="96">
        <f t="shared" si="10"/>
        <v>211.65456723344923</v>
      </c>
      <c r="G39" s="96">
        <f t="shared" si="10"/>
        <v>245.98260555359795</v>
      </c>
      <c r="H39" s="96">
        <f t="shared" si="10"/>
        <v>258.3670696794041</v>
      </c>
      <c r="I39" s="96">
        <f t="shared" si="10"/>
        <v>264.10266772114142</v>
      </c>
      <c r="J39" s="96">
        <f t="shared" si="10"/>
        <v>267.77804199659374</v>
      </c>
      <c r="K39" s="96">
        <f t="shared" si="10"/>
        <v>270.68013995566122</v>
      </c>
      <c r="L39" s="96">
        <f t="shared" si="10"/>
        <v>273.2421321680294</v>
      </c>
      <c r="M39" s="96">
        <f t="shared" si="10"/>
        <v>275.70298494979005</v>
      </c>
      <c r="N39" s="96">
        <f t="shared" si="10"/>
        <v>278.27424926936999</v>
      </c>
      <c r="O39" s="96">
        <f t="shared" si="10"/>
        <v>281.27588818548406</v>
      </c>
      <c r="P39" s="96">
        <f t="shared" si="10"/>
        <v>285.58598013200435</v>
      </c>
      <c r="Q39" s="96" t="e">
        <f t="shared" si="10"/>
        <v>#DIV/0!</v>
      </c>
      <c r="R39" s="96">
        <f t="shared" si="10"/>
        <v>287.077508420897</v>
      </c>
      <c r="S39" s="96">
        <f t="shared" si="10"/>
        <v>284.28959518196137</v>
      </c>
      <c r="T39" s="96">
        <f t="shared" si="11"/>
        <v>282.87539189831824</v>
      </c>
      <c r="U39" s="96">
        <f t="shared" si="11"/>
        <v>282.00070931345579</v>
      </c>
      <c r="V39" s="96">
        <f t="shared" si="11"/>
        <v>281.40780530380948</v>
      </c>
      <c r="W39" s="96">
        <f t="shared" si="11"/>
        <v>280.98407223426682</v>
      </c>
      <c r="X39" s="96">
        <f t="shared" si="11"/>
        <v>280.67083901459381</v>
      </c>
      <c r="Y39" s="96">
        <f t="shared" si="11"/>
        <v>280.43401399270158</v>
      </c>
      <c r="Z39" s="96">
        <f t="shared" si="11"/>
        <v>280.25224839087821</v>
      </c>
      <c r="AA39" s="96">
        <f t="shared" si="11"/>
        <v>280.11142035376645</v>
      </c>
    </row>
    <row r="40" spans="1:27" x14ac:dyDescent="0.35">
      <c r="B40">
        <v>0.5</v>
      </c>
      <c r="C40" s="96" t="e">
        <f t="shared" si="12"/>
        <v>#NUM!</v>
      </c>
      <c r="D40" s="96">
        <f t="shared" si="10"/>
        <v>142.64287774168605</v>
      </c>
      <c r="E40" s="96">
        <f t="shared" si="10"/>
        <v>176.87180967699771</v>
      </c>
      <c r="F40" s="96">
        <f t="shared" si="10"/>
        <v>211.1017130187326</v>
      </c>
      <c r="G40" s="96">
        <f t="shared" si="10"/>
        <v>245.42975133888132</v>
      </c>
      <c r="H40" s="96">
        <f t="shared" si="10"/>
        <v>257.81421546468749</v>
      </c>
      <c r="I40" s="96">
        <f t="shared" si="10"/>
        <v>263.54981350642475</v>
      </c>
      <c r="J40" s="96">
        <f t="shared" si="10"/>
        <v>267.22518778187708</v>
      </c>
      <c r="K40" s="96">
        <f t="shared" si="10"/>
        <v>270.12728574094456</v>
      </c>
      <c r="L40" s="96">
        <f t="shared" si="10"/>
        <v>272.68927795331274</v>
      </c>
      <c r="M40" s="96">
        <f t="shared" si="10"/>
        <v>275.15013073507339</v>
      </c>
      <c r="N40" s="96">
        <f t="shared" si="10"/>
        <v>277.72139505465333</v>
      </c>
      <c r="O40" s="96">
        <f t="shared" si="10"/>
        <v>280.7230339707674</v>
      </c>
      <c r="P40" s="96">
        <f t="shared" si="10"/>
        <v>285.03312591728775</v>
      </c>
      <c r="Q40" s="96" t="e">
        <f t="shared" si="10"/>
        <v>#DIV/0!</v>
      </c>
      <c r="R40" s="96">
        <f t="shared" si="10"/>
        <v>286.5246542061804</v>
      </c>
      <c r="S40" s="96">
        <f t="shared" si="10"/>
        <v>283.73674096724471</v>
      </c>
      <c r="T40" s="96">
        <f t="shared" si="11"/>
        <v>282.32253768360158</v>
      </c>
      <c r="U40" s="96">
        <f t="shared" si="11"/>
        <v>281.44785509873913</v>
      </c>
      <c r="V40" s="96">
        <f t="shared" si="11"/>
        <v>280.85495108909282</v>
      </c>
      <c r="W40" s="96">
        <f t="shared" si="11"/>
        <v>280.43121801955016</v>
      </c>
      <c r="X40" s="96">
        <f t="shared" si="11"/>
        <v>280.11798479987715</v>
      </c>
      <c r="Y40" s="96">
        <f t="shared" si="11"/>
        <v>279.88115977798492</v>
      </c>
      <c r="Z40" s="96">
        <f t="shared" si="11"/>
        <v>279.69939417616155</v>
      </c>
      <c r="AA40" s="96">
        <f t="shared" si="11"/>
        <v>279.55856613904979</v>
      </c>
    </row>
    <row r="41" spans="1:27" x14ac:dyDescent="0.35">
      <c r="B41">
        <v>0.6</v>
      </c>
      <c r="C41" s="96" t="e">
        <f t="shared" si="12"/>
        <v>#NUM!</v>
      </c>
      <c r="D41" s="96">
        <f t="shared" si="10"/>
        <v>142.19116295757692</v>
      </c>
      <c r="E41" s="96">
        <f t="shared" si="10"/>
        <v>176.42009489288864</v>
      </c>
      <c r="F41" s="96">
        <f t="shared" si="10"/>
        <v>210.64999823462347</v>
      </c>
      <c r="G41" s="96">
        <f t="shared" si="10"/>
        <v>244.97803655477219</v>
      </c>
      <c r="H41" s="96">
        <f t="shared" si="10"/>
        <v>257.36250068057836</v>
      </c>
      <c r="I41" s="96">
        <f t="shared" si="10"/>
        <v>263.09809872231568</v>
      </c>
      <c r="J41" s="96">
        <f t="shared" si="10"/>
        <v>266.77347299776801</v>
      </c>
      <c r="K41" s="96">
        <f t="shared" si="10"/>
        <v>269.67557095683549</v>
      </c>
      <c r="L41" s="96">
        <f t="shared" si="10"/>
        <v>272.23756316920367</v>
      </c>
      <c r="M41" s="96">
        <f t="shared" si="10"/>
        <v>274.69841595096426</v>
      </c>
      <c r="N41" s="96">
        <f t="shared" si="10"/>
        <v>277.2696802705442</v>
      </c>
      <c r="O41" s="96">
        <f t="shared" si="10"/>
        <v>280.27131918665833</v>
      </c>
      <c r="P41" s="96">
        <f t="shared" si="10"/>
        <v>284.58141113317862</v>
      </c>
      <c r="Q41" s="96" t="e">
        <f t="shared" si="10"/>
        <v>#DIV/0!</v>
      </c>
      <c r="R41" s="96">
        <f t="shared" si="10"/>
        <v>286.07293942207127</v>
      </c>
      <c r="S41" s="96">
        <f t="shared" si="10"/>
        <v>283.28502618313559</v>
      </c>
      <c r="T41" s="96">
        <f t="shared" si="11"/>
        <v>281.87082289949251</v>
      </c>
      <c r="U41" s="96">
        <f t="shared" si="11"/>
        <v>280.99614031463</v>
      </c>
      <c r="V41" s="96">
        <f t="shared" si="11"/>
        <v>280.40323630498369</v>
      </c>
      <c r="W41" s="96">
        <f t="shared" si="11"/>
        <v>279.97950323544103</v>
      </c>
      <c r="X41" s="96">
        <f t="shared" si="11"/>
        <v>279.66627001576808</v>
      </c>
      <c r="Y41" s="96">
        <f t="shared" si="11"/>
        <v>279.42944499387585</v>
      </c>
      <c r="Z41" s="96">
        <f t="shared" si="11"/>
        <v>279.24767939205242</v>
      </c>
      <c r="AA41" s="96">
        <f t="shared" si="11"/>
        <v>279.10685135494072</v>
      </c>
    </row>
    <row r="42" spans="1:27" x14ac:dyDescent="0.35">
      <c r="B42">
        <v>0.7</v>
      </c>
      <c r="C42" s="96" t="e">
        <f t="shared" si="12"/>
        <v>#NUM!</v>
      </c>
      <c r="D42" s="96">
        <f t="shared" si="10"/>
        <v>141.80924354945594</v>
      </c>
      <c r="E42" s="96">
        <f t="shared" si="10"/>
        <v>176.03817548476763</v>
      </c>
      <c r="F42" s="96">
        <f t="shared" si="10"/>
        <v>210.26807882650249</v>
      </c>
      <c r="G42" s="96">
        <f t="shared" si="10"/>
        <v>244.59611714665121</v>
      </c>
      <c r="H42" s="96">
        <f t="shared" si="10"/>
        <v>256.98058127245736</v>
      </c>
      <c r="I42" s="96">
        <f t="shared" si="10"/>
        <v>262.71617931419468</v>
      </c>
      <c r="J42" s="96">
        <f t="shared" si="10"/>
        <v>266.391553589647</v>
      </c>
      <c r="K42" s="96">
        <f t="shared" si="10"/>
        <v>269.29365154871448</v>
      </c>
      <c r="L42" s="96">
        <f t="shared" si="10"/>
        <v>271.85564376108266</v>
      </c>
      <c r="M42" s="96">
        <f t="shared" si="10"/>
        <v>274.31649654284331</v>
      </c>
      <c r="N42" s="96">
        <f t="shared" si="10"/>
        <v>276.88776086242325</v>
      </c>
      <c r="O42" s="96">
        <f t="shared" si="10"/>
        <v>279.88939977853732</v>
      </c>
      <c r="P42" s="96">
        <f t="shared" si="10"/>
        <v>284.19949172505761</v>
      </c>
      <c r="Q42" s="96" t="e">
        <f t="shared" si="10"/>
        <v>#DIV/0!</v>
      </c>
      <c r="R42" s="96">
        <f t="shared" si="10"/>
        <v>285.69102001395026</v>
      </c>
      <c r="S42" s="96">
        <f t="shared" si="10"/>
        <v>282.90310677501463</v>
      </c>
      <c r="T42" s="96">
        <f t="shared" si="11"/>
        <v>281.4889034913715</v>
      </c>
      <c r="U42" s="96">
        <f t="shared" si="11"/>
        <v>280.61422090650905</v>
      </c>
      <c r="V42" s="96">
        <f t="shared" si="11"/>
        <v>280.02131689686274</v>
      </c>
      <c r="W42" s="96">
        <f t="shared" si="11"/>
        <v>279.59758382732008</v>
      </c>
      <c r="X42" s="96">
        <f t="shared" si="11"/>
        <v>279.28435060764707</v>
      </c>
      <c r="Y42" s="96">
        <f t="shared" si="11"/>
        <v>279.04752558575484</v>
      </c>
      <c r="Z42" s="96">
        <f t="shared" si="11"/>
        <v>278.86575998393147</v>
      </c>
      <c r="AA42" s="96">
        <f t="shared" si="11"/>
        <v>278.72493194681971</v>
      </c>
    </row>
    <row r="43" spans="1:27" x14ac:dyDescent="0.35">
      <c r="B43">
        <v>0.8</v>
      </c>
      <c r="C43" s="96" t="e">
        <f t="shared" si="12"/>
        <v>#NUM!</v>
      </c>
      <c r="D43" s="96">
        <f t="shared" si="10"/>
        <v>141.47840990996843</v>
      </c>
      <c r="E43" s="96">
        <f t="shared" si="10"/>
        <v>175.70734184528013</v>
      </c>
      <c r="F43" s="96">
        <f t="shared" si="10"/>
        <v>209.93724518701498</v>
      </c>
      <c r="G43" s="96">
        <f t="shared" si="10"/>
        <v>244.2652835071637</v>
      </c>
      <c r="H43" s="96">
        <f t="shared" si="10"/>
        <v>256.64974763296988</v>
      </c>
      <c r="I43" s="96">
        <f t="shared" si="10"/>
        <v>262.38534567470714</v>
      </c>
      <c r="J43" s="96">
        <f t="shared" si="10"/>
        <v>266.06071995015947</v>
      </c>
      <c r="K43" s="96">
        <f t="shared" si="10"/>
        <v>268.96281790922694</v>
      </c>
      <c r="L43" s="96">
        <f t="shared" si="10"/>
        <v>271.52481012159512</v>
      </c>
      <c r="M43" s="96">
        <f t="shared" si="10"/>
        <v>273.98566290335577</v>
      </c>
      <c r="N43" s="96">
        <f t="shared" si="10"/>
        <v>276.55692722293571</v>
      </c>
      <c r="O43" s="96">
        <f t="shared" si="10"/>
        <v>279.55856613904979</v>
      </c>
      <c r="P43" s="96">
        <f t="shared" si="10"/>
        <v>283.86865808557013</v>
      </c>
      <c r="Q43" s="96" t="e">
        <f t="shared" si="10"/>
        <v>#DIV/0!</v>
      </c>
      <c r="R43" s="96">
        <f t="shared" si="10"/>
        <v>285.36018637446278</v>
      </c>
      <c r="S43" s="96">
        <f t="shared" si="10"/>
        <v>282.5722731355271</v>
      </c>
      <c r="T43" s="96">
        <f t="shared" si="11"/>
        <v>281.15806985188397</v>
      </c>
      <c r="U43" s="96">
        <f t="shared" si="11"/>
        <v>280.28338726702151</v>
      </c>
      <c r="V43" s="96">
        <f t="shared" si="11"/>
        <v>279.69048325737521</v>
      </c>
      <c r="W43" s="96">
        <f t="shared" si="11"/>
        <v>279.26675018783254</v>
      </c>
      <c r="X43" s="96">
        <f t="shared" si="11"/>
        <v>278.95351696815953</v>
      </c>
      <c r="Y43" s="96">
        <f t="shared" si="11"/>
        <v>278.7166919462673</v>
      </c>
      <c r="Z43" s="96">
        <f t="shared" si="11"/>
        <v>278.53492634444393</v>
      </c>
      <c r="AA43" s="96">
        <f t="shared" si="11"/>
        <v>278.39409830733217</v>
      </c>
    </row>
    <row r="44" spans="1:27" x14ac:dyDescent="0.35">
      <c r="B44">
        <v>0.9</v>
      </c>
      <c r="C44" s="96" t="e">
        <f t="shared" si="12"/>
        <v>#NUM!</v>
      </c>
      <c r="D44" s="96">
        <f t="shared" si="10"/>
        <v>141.18659395875116</v>
      </c>
      <c r="E44" s="96">
        <f t="shared" si="10"/>
        <v>175.41552589406285</v>
      </c>
      <c r="F44" s="96">
        <f t="shared" si="10"/>
        <v>209.64542923579771</v>
      </c>
      <c r="G44" s="96">
        <f t="shared" si="10"/>
        <v>243.97346755594646</v>
      </c>
      <c r="H44" s="96">
        <f t="shared" si="10"/>
        <v>256.35793168175258</v>
      </c>
      <c r="I44" s="96">
        <f t="shared" si="10"/>
        <v>262.09352972348989</v>
      </c>
      <c r="J44" s="96">
        <f t="shared" si="10"/>
        <v>265.76890399894222</v>
      </c>
      <c r="K44" s="96">
        <f t="shared" si="10"/>
        <v>268.6710019580097</v>
      </c>
      <c r="L44" s="96">
        <f t="shared" si="10"/>
        <v>271.23299417037788</v>
      </c>
      <c r="M44" s="96">
        <f t="shared" si="10"/>
        <v>273.69384695213853</v>
      </c>
      <c r="N44" s="96">
        <f t="shared" si="10"/>
        <v>276.26511127171847</v>
      </c>
      <c r="O44" s="96">
        <f t="shared" si="10"/>
        <v>279.26675018783254</v>
      </c>
      <c r="P44" s="96">
        <f t="shared" si="10"/>
        <v>283.57684213435283</v>
      </c>
      <c r="Q44" s="96" t="e">
        <f t="shared" si="10"/>
        <v>#DIV/0!</v>
      </c>
      <c r="R44" s="96">
        <f t="shared" si="10"/>
        <v>285.06837042324548</v>
      </c>
      <c r="S44" s="96">
        <f t="shared" si="10"/>
        <v>282.28045718430985</v>
      </c>
      <c r="T44" s="96">
        <f t="shared" si="11"/>
        <v>280.86625390066672</v>
      </c>
      <c r="U44" s="96">
        <f t="shared" si="11"/>
        <v>279.99157131580426</v>
      </c>
      <c r="V44" s="96">
        <f t="shared" si="11"/>
        <v>279.39866730615796</v>
      </c>
      <c r="W44" s="96">
        <f t="shared" si="11"/>
        <v>278.9749342366153</v>
      </c>
      <c r="X44" s="96">
        <f t="shared" si="11"/>
        <v>278.66170101694229</v>
      </c>
      <c r="Y44" s="96">
        <f t="shared" si="11"/>
        <v>278.42487599505006</v>
      </c>
      <c r="Z44" s="96">
        <f t="shared" si="11"/>
        <v>278.24311039322669</v>
      </c>
      <c r="AA44" s="96">
        <f t="shared" si="11"/>
        <v>278.10228235611493</v>
      </c>
    </row>
    <row r="45" spans="1:27" x14ac:dyDescent="0.35">
      <c r="B45">
        <v>1</v>
      </c>
      <c r="C45" s="96" t="e">
        <f t="shared" si="12"/>
        <v>#NUM!</v>
      </c>
      <c r="D45" s="96">
        <f t="shared" si="10"/>
        <v>140.92555569525177</v>
      </c>
      <c r="E45" s="96">
        <f t="shared" si="10"/>
        <v>175.15448763056349</v>
      </c>
      <c r="F45" s="96">
        <f t="shared" si="10"/>
        <v>209.38439097229832</v>
      </c>
      <c r="G45" s="96">
        <f t="shared" si="10"/>
        <v>243.71242929244704</v>
      </c>
      <c r="H45" s="96">
        <f t="shared" si="10"/>
        <v>256.09689341825322</v>
      </c>
      <c r="I45" s="96">
        <f t="shared" si="10"/>
        <v>261.83249145999054</v>
      </c>
      <c r="J45" s="96">
        <f t="shared" si="10"/>
        <v>265.50786573544286</v>
      </c>
      <c r="K45" s="96">
        <f t="shared" si="10"/>
        <v>268.40996369451034</v>
      </c>
      <c r="L45" s="96">
        <f t="shared" si="10"/>
        <v>270.97195590687846</v>
      </c>
      <c r="M45" s="96">
        <f t="shared" si="10"/>
        <v>273.43280868863911</v>
      </c>
      <c r="N45" s="96">
        <f t="shared" si="10"/>
        <v>276.00407300821905</v>
      </c>
      <c r="O45" s="96">
        <f t="shared" si="10"/>
        <v>279.00571192433318</v>
      </c>
      <c r="P45" s="96">
        <f t="shared" si="10"/>
        <v>283.31580387085347</v>
      </c>
      <c r="Q45" s="96" t="e">
        <f t="shared" si="10"/>
        <v>#DIV/0!</v>
      </c>
      <c r="R45" s="96">
        <f t="shared" si="10"/>
        <v>284.80733215974612</v>
      </c>
      <c r="S45" s="96">
        <f t="shared" si="10"/>
        <v>282.01941892081044</v>
      </c>
      <c r="T45" s="96">
        <f t="shared" si="11"/>
        <v>280.60521563716736</v>
      </c>
      <c r="U45" s="96">
        <f t="shared" si="11"/>
        <v>279.73053305230485</v>
      </c>
      <c r="V45" s="96">
        <f t="shared" si="11"/>
        <v>279.13762904265855</v>
      </c>
      <c r="W45" s="96">
        <f t="shared" si="11"/>
        <v>278.71389597311588</v>
      </c>
      <c r="X45" s="96">
        <f t="shared" si="11"/>
        <v>278.40066275344293</v>
      </c>
      <c r="Y45" s="96">
        <f t="shared" si="11"/>
        <v>278.16383773155064</v>
      </c>
      <c r="Z45" s="96">
        <f t="shared" si="11"/>
        <v>277.98207212972727</v>
      </c>
      <c r="AA45" s="96">
        <f t="shared" si="11"/>
        <v>277.84124409261557</v>
      </c>
    </row>
    <row r="47" spans="1:27" x14ac:dyDescent="0.35">
      <c r="A47" t="s">
        <v>593</v>
      </c>
      <c r="B47" t="s">
        <v>594</v>
      </c>
      <c r="D47" s="98" t="s">
        <v>590</v>
      </c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</row>
    <row r="48" spans="1:27" x14ac:dyDescent="0.35">
      <c r="A48">
        <v>3</v>
      </c>
      <c r="B48" t="s">
        <v>591</v>
      </c>
      <c r="C48">
        <v>0</v>
      </c>
      <c r="D48">
        <v>1E-8</v>
      </c>
      <c r="E48">
        <v>9.9999999999999995E-7</v>
      </c>
      <c r="F48">
        <v>1E-4</v>
      </c>
      <c r="G48">
        <v>0.01</v>
      </c>
      <c r="H48">
        <v>0.05</v>
      </c>
      <c r="I48">
        <v>0.1</v>
      </c>
      <c r="J48">
        <v>0.15</v>
      </c>
      <c r="K48">
        <v>0.2</v>
      </c>
      <c r="L48">
        <v>0.25</v>
      </c>
      <c r="M48">
        <v>0.3</v>
      </c>
      <c r="N48">
        <v>0.35</v>
      </c>
      <c r="O48">
        <v>0.4</v>
      </c>
      <c r="P48">
        <v>0.45</v>
      </c>
      <c r="Q48">
        <v>0.5</v>
      </c>
      <c r="R48">
        <v>0.55000000000000004</v>
      </c>
      <c r="S48">
        <v>0.6</v>
      </c>
      <c r="T48">
        <v>0.65</v>
      </c>
      <c r="U48">
        <v>0.7</v>
      </c>
      <c r="V48">
        <v>0.75</v>
      </c>
      <c r="W48">
        <v>0.8</v>
      </c>
      <c r="X48">
        <v>0.85</v>
      </c>
      <c r="Y48">
        <v>0.9</v>
      </c>
      <c r="Z48">
        <v>0.95</v>
      </c>
      <c r="AA48">
        <v>1</v>
      </c>
    </row>
    <row r="49" spans="1:27" x14ac:dyDescent="0.35">
      <c r="A49">
        <v>274.40659999974702</v>
      </c>
      <c r="B49">
        <v>0</v>
      </c>
      <c r="C49" s="96" t="e">
        <f>274.406599999747+0.008314*298*LN((C$48*($A$48*C$48)^($A$48))/($B49*(1-$A$48*C$48)^($A$48)))</f>
        <v>#DIV/0!</v>
      </c>
      <c r="D49" s="96" t="e">
        <f t="shared" ref="D49:T60" si="13">274.406599999747+0.008314*298*LN((D$48*($A$48*D$48)^($A$48))/($B49*(1-$A$48*D$48)^($A$48)))</f>
        <v>#DIV/0!</v>
      </c>
      <c r="E49" s="96" t="e">
        <f t="shared" si="13"/>
        <v>#DIV/0!</v>
      </c>
      <c r="F49" s="96" t="e">
        <f t="shared" si="13"/>
        <v>#DIV/0!</v>
      </c>
      <c r="G49" s="96" t="e">
        <f t="shared" si="13"/>
        <v>#DIV/0!</v>
      </c>
      <c r="H49" s="96" t="e">
        <f t="shared" si="13"/>
        <v>#DIV/0!</v>
      </c>
      <c r="I49" s="96" t="e">
        <f t="shared" si="13"/>
        <v>#DIV/0!</v>
      </c>
      <c r="J49" s="96" t="e">
        <f t="shared" si="13"/>
        <v>#DIV/0!</v>
      </c>
      <c r="K49" s="96" t="e">
        <f t="shared" si="13"/>
        <v>#DIV/0!</v>
      </c>
      <c r="L49" s="96" t="e">
        <f t="shared" si="13"/>
        <v>#DIV/0!</v>
      </c>
      <c r="M49" s="96" t="e">
        <f t="shared" si="13"/>
        <v>#DIV/0!</v>
      </c>
      <c r="N49" s="96" t="e">
        <f t="shared" si="13"/>
        <v>#DIV/0!</v>
      </c>
      <c r="O49" s="96" t="e">
        <f t="shared" si="13"/>
        <v>#DIV/0!</v>
      </c>
      <c r="P49" s="96" t="e">
        <f t="shared" si="13"/>
        <v>#DIV/0!</v>
      </c>
      <c r="Q49" s="96" t="e">
        <f t="shared" si="13"/>
        <v>#DIV/0!</v>
      </c>
      <c r="R49" s="96" t="e">
        <f t="shared" si="13"/>
        <v>#DIV/0!</v>
      </c>
      <c r="S49" s="96" t="e">
        <f t="shared" si="13"/>
        <v>#DIV/0!</v>
      </c>
      <c r="T49" s="96" t="e">
        <f t="shared" si="13"/>
        <v>#DIV/0!</v>
      </c>
      <c r="U49" s="96" t="e">
        <f t="shared" ref="T49:AA60" si="14">274.406599999747+0.008314*298*LN((U$48*($A$48*U$48)^($A$48))/($B49*(1-$A$48*U$48)^($A$48)))</f>
        <v>#DIV/0!</v>
      </c>
      <c r="V49" s="96" t="e">
        <f t="shared" si="14"/>
        <v>#DIV/0!</v>
      </c>
      <c r="W49" s="96" t="e">
        <f t="shared" si="14"/>
        <v>#DIV/0!</v>
      </c>
      <c r="X49" s="96" t="e">
        <f t="shared" si="14"/>
        <v>#DIV/0!</v>
      </c>
      <c r="Y49" s="96" t="e">
        <f t="shared" si="14"/>
        <v>#DIV/0!</v>
      </c>
      <c r="Z49" s="96" t="e">
        <f t="shared" si="14"/>
        <v>#DIV/0!</v>
      </c>
      <c r="AA49" s="96" t="e">
        <f t="shared" si="14"/>
        <v>#DIV/0!</v>
      </c>
    </row>
    <row r="50" spans="1:27" x14ac:dyDescent="0.35">
      <c r="B50">
        <v>1.0000000000000001E-5</v>
      </c>
      <c r="C50" s="96"/>
      <c r="D50" s="96">
        <f t="shared" ref="C50:M60" si="15">274.406599999747+0.008314*298*LN((D$48*($A$48*D$48)^($A$48))/($B50*(1-$A$48*D$48)^($A$48)))</f>
        <v>128.54212379998361</v>
      </c>
      <c r="E50" s="96">
        <f t="shared" si="15"/>
        <v>174.18070870733914</v>
      </c>
      <c r="F50" s="96">
        <f t="shared" si="15"/>
        <v>219.82147939065234</v>
      </c>
      <c r="G50" s="96">
        <f t="shared" si="15"/>
        <v>265.68420671228768</v>
      </c>
      <c r="H50" s="96">
        <f t="shared" si="15"/>
        <v>282.61576235139046</v>
      </c>
      <c r="I50" s="96">
        <f t="shared" si="15"/>
        <v>290.92815705215907</v>
      </c>
      <c r="J50" s="96">
        <f t="shared" si="15"/>
        <v>296.73892212575788</v>
      </c>
      <c r="K50" s="96">
        <f t="shared" si="15"/>
        <v>301.95691045873633</v>
      </c>
      <c r="L50" s="96">
        <f t="shared" si="15"/>
        <v>307.66173081275576</v>
      </c>
      <c r="M50" s="96">
        <f t="shared" si="15"/>
        <v>316.27911873264497</v>
      </c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</row>
    <row r="51" spans="1:27" x14ac:dyDescent="0.35">
      <c r="B51">
        <v>0.1</v>
      </c>
      <c r="C51" s="96" t="e">
        <f t="shared" si="15"/>
        <v>#NUM!</v>
      </c>
      <c r="D51" s="96">
        <f t="shared" si="13"/>
        <v>105.72284238390583</v>
      </c>
      <c r="E51" s="96">
        <f t="shared" si="13"/>
        <v>151.36142729126135</v>
      </c>
      <c r="F51" s="96">
        <f t="shared" si="13"/>
        <v>197.00219797457459</v>
      </c>
      <c r="G51" s="96">
        <f t="shared" si="13"/>
        <v>242.86492529620989</v>
      </c>
      <c r="H51" s="96">
        <f t="shared" si="13"/>
        <v>259.79648093531267</v>
      </c>
      <c r="I51" s="96">
        <f t="shared" si="13"/>
        <v>268.10887563608128</v>
      </c>
      <c r="J51" s="96">
        <f t="shared" si="13"/>
        <v>273.9196407096801</v>
      </c>
      <c r="K51" s="96">
        <f t="shared" si="13"/>
        <v>279.13762904265855</v>
      </c>
      <c r="L51" s="96">
        <f t="shared" si="13"/>
        <v>284.84244939667803</v>
      </c>
      <c r="M51" s="96">
        <f t="shared" si="13"/>
        <v>293.45983731656719</v>
      </c>
      <c r="N51" s="96" t="e">
        <f t="shared" si="13"/>
        <v>#NUM!</v>
      </c>
      <c r="O51" s="96" t="e">
        <f t="shared" si="13"/>
        <v>#NUM!</v>
      </c>
      <c r="P51" s="96" t="e">
        <f t="shared" si="13"/>
        <v>#NUM!</v>
      </c>
      <c r="Q51" s="96" t="e">
        <f t="shared" si="13"/>
        <v>#NUM!</v>
      </c>
      <c r="R51" s="96" t="e">
        <f t="shared" si="13"/>
        <v>#NUM!</v>
      </c>
      <c r="S51" s="96" t="e">
        <f t="shared" si="13"/>
        <v>#NUM!</v>
      </c>
      <c r="T51" s="96" t="e">
        <f t="shared" si="14"/>
        <v>#NUM!</v>
      </c>
      <c r="U51" s="96" t="e">
        <f t="shared" si="14"/>
        <v>#NUM!</v>
      </c>
      <c r="V51" s="96" t="e">
        <f t="shared" si="14"/>
        <v>#NUM!</v>
      </c>
      <c r="W51" s="96" t="e">
        <f t="shared" si="14"/>
        <v>#NUM!</v>
      </c>
      <c r="X51" s="96" t="e">
        <f t="shared" si="14"/>
        <v>#NUM!</v>
      </c>
      <c r="Y51" s="96" t="e">
        <f t="shared" si="14"/>
        <v>#NUM!</v>
      </c>
      <c r="Z51" s="96" t="e">
        <f t="shared" si="14"/>
        <v>#NUM!</v>
      </c>
      <c r="AA51" s="96" t="e">
        <f t="shared" si="14"/>
        <v>#NUM!</v>
      </c>
    </row>
    <row r="52" spans="1:27" x14ac:dyDescent="0.35">
      <c r="B52">
        <v>0.2</v>
      </c>
      <c r="C52" s="96" t="e">
        <f t="shared" si="15"/>
        <v>#NUM!</v>
      </c>
      <c r="D52" s="96">
        <f t="shared" si="13"/>
        <v>104.00552033747158</v>
      </c>
      <c r="E52" s="96">
        <f t="shared" si="13"/>
        <v>149.64410524482707</v>
      </c>
      <c r="F52" s="96">
        <f t="shared" si="13"/>
        <v>195.28487592814031</v>
      </c>
      <c r="G52" s="96">
        <f t="shared" si="13"/>
        <v>241.14760324977564</v>
      </c>
      <c r="H52" s="96">
        <f t="shared" si="13"/>
        <v>258.0791588888784</v>
      </c>
      <c r="I52" s="96">
        <f t="shared" si="13"/>
        <v>266.391553589647</v>
      </c>
      <c r="J52" s="96">
        <f t="shared" si="13"/>
        <v>272.20231866324588</v>
      </c>
      <c r="K52" s="96">
        <f t="shared" si="13"/>
        <v>277.42030699622433</v>
      </c>
      <c r="L52" s="96">
        <f t="shared" si="13"/>
        <v>283.12512735024376</v>
      </c>
      <c r="M52" s="96">
        <f t="shared" si="13"/>
        <v>291.74251527013291</v>
      </c>
      <c r="N52" s="96" t="e">
        <f t="shared" si="13"/>
        <v>#NUM!</v>
      </c>
      <c r="O52" s="96" t="e">
        <f t="shared" si="13"/>
        <v>#NUM!</v>
      </c>
      <c r="P52" s="96" t="e">
        <f t="shared" si="13"/>
        <v>#NUM!</v>
      </c>
      <c r="Q52" s="96" t="e">
        <f t="shared" si="13"/>
        <v>#NUM!</v>
      </c>
      <c r="R52" s="96" t="e">
        <f t="shared" si="13"/>
        <v>#NUM!</v>
      </c>
      <c r="S52" s="96" t="e">
        <f t="shared" si="13"/>
        <v>#NUM!</v>
      </c>
      <c r="T52" s="96" t="e">
        <f t="shared" si="14"/>
        <v>#NUM!</v>
      </c>
      <c r="U52" s="96" t="e">
        <f t="shared" si="14"/>
        <v>#NUM!</v>
      </c>
      <c r="V52" s="96" t="e">
        <f t="shared" si="14"/>
        <v>#NUM!</v>
      </c>
      <c r="W52" s="96" t="e">
        <f t="shared" si="14"/>
        <v>#NUM!</v>
      </c>
      <c r="X52" s="96" t="e">
        <f t="shared" si="14"/>
        <v>#NUM!</v>
      </c>
      <c r="Y52" s="96" t="e">
        <f t="shared" si="14"/>
        <v>#NUM!</v>
      </c>
      <c r="Z52" s="96" t="e">
        <f t="shared" si="14"/>
        <v>#NUM!</v>
      </c>
      <c r="AA52" s="96" t="e">
        <f t="shared" si="14"/>
        <v>#NUM!</v>
      </c>
    </row>
    <row r="53" spans="1:27" x14ac:dyDescent="0.35">
      <c r="B53">
        <v>0.3</v>
      </c>
      <c r="C53" s="96" t="e">
        <f t="shared" si="15"/>
        <v>#NUM!</v>
      </c>
      <c r="D53" s="96">
        <f t="shared" si="13"/>
        <v>103.00095133864582</v>
      </c>
      <c r="E53" s="96">
        <f t="shared" si="13"/>
        <v>148.63953624600131</v>
      </c>
      <c r="F53" s="96">
        <f t="shared" si="13"/>
        <v>194.28030692931455</v>
      </c>
      <c r="G53" s="96">
        <f t="shared" si="13"/>
        <v>240.14303425094988</v>
      </c>
      <c r="H53" s="96">
        <f t="shared" si="13"/>
        <v>257.07458989005266</v>
      </c>
      <c r="I53" s="96">
        <f t="shared" si="13"/>
        <v>265.38698459082127</v>
      </c>
      <c r="J53" s="96">
        <f t="shared" si="13"/>
        <v>271.19774966442009</v>
      </c>
      <c r="K53" s="96">
        <f t="shared" si="13"/>
        <v>276.41573799739854</v>
      </c>
      <c r="L53" s="96">
        <f t="shared" si="13"/>
        <v>282.12055835141797</v>
      </c>
      <c r="M53" s="96">
        <f t="shared" si="13"/>
        <v>290.73794627130718</v>
      </c>
      <c r="N53" s="96" t="e">
        <f t="shared" si="13"/>
        <v>#NUM!</v>
      </c>
      <c r="O53" s="96" t="e">
        <f t="shared" si="13"/>
        <v>#NUM!</v>
      </c>
      <c r="P53" s="96" t="e">
        <f t="shared" si="13"/>
        <v>#NUM!</v>
      </c>
      <c r="Q53" s="96" t="e">
        <f t="shared" si="13"/>
        <v>#NUM!</v>
      </c>
      <c r="R53" s="96" t="e">
        <f t="shared" si="13"/>
        <v>#NUM!</v>
      </c>
      <c r="S53" s="96" t="e">
        <f t="shared" si="13"/>
        <v>#NUM!</v>
      </c>
      <c r="T53" s="96" t="e">
        <f t="shared" si="14"/>
        <v>#NUM!</v>
      </c>
      <c r="U53" s="96" t="e">
        <f t="shared" si="14"/>
        <v>#NUM!</v>
      </c>
      <c r="V53" s="96" t="e">
        <f t="shared" si="14"/>
        <v>#NUM!</v>
      </c>
      <c r="W53" s="96" t="e">
        <f t="shared" si="14"/>
        <v>#NUM!</v>
      </c>
      <c r="X53" s="96" t="e">
        <f t="shared" si="14"/>
        <v>#NUM!</v>
      </c>
      <c r="Y53" s="96" t="e">
        <f t="shared" si="14"/>
        <v>#NUM!</v>
      </c>
      <c r="Z53" s="96" t="e">
        <f t="shared" si="14"/>
        <v>#NUM!</v>
      </c>
      <c r="AA53" s="96" t="e">
        <f t="shared" si="14"/>
        <v>#NUM!</v>
      </c>
    </row>
    <row r="54" spans="1:27" x14ac:dyDescent="0.35">
      <c r="B54">
        <v>0.4</v>
      </c>
      <c r="C54" s="96" t="e">
        <f t="shared" si="15"/>
        <v>#NUM!</v>
      </c>
      <c r="D54" s="96">
        <f t="shared" si="13"/>
        <v>102.2881982910373</v>
      </c>
      <c r="E54" s="96">
        <f t="shared" si="13"/>
        <v>147.9267831983928</v>
      </c>
      <c r="F54" s="96">
        <f t="shared" si="13"/>
        <v>193.56755388170603</v>
      </c>
      <c r="G54" s="96">
        <f t="shared" si="13"/>
        <v>239.43028120334137</v>
      </c>
      <c r="H54" s="96">
        <f t="shared" si="13"/>
        <v>256.36183684244418</v>
      </c>
      <c r="I54" s="96">
        <f t="shared" si="13"/>
        <v>264.67423154321273</v>
      </c>
      <c r="J54" s="96">
        <f t="shared" si="13"/>
        <v>270.4849966168116</v>
      </c>
      <c r="K54" s="96">
        <f t="shared" si="13"/>
        <v>275.70298494979005</v>
      </c>
      <c r="L54" s="96">
        <f t="shared" si="13"/>
        <v>281.40780530380948</v>
      </c>
      <c r="M54" s="96">
        <f t="shared" si="13"/>
        <v>290.02519322369864</v>
      </c>
      <c r="N54" s="96" t="e">
        <f t="shared" si="13"/>
        <v>#NUM!</v>
      </c>
      <c r="O54" s="96" t="e">
        <f t="shared" si="13"/>
        <v>#NUM!</v>
      </c>
      <c r="P54" s="96" t="e">
        <f t="shared" si="13"/>
        <v>#NUM!</v>
      </c>
      <c r="Q54" s="96" t="e">
        <f t="shared" si="13"/>
        <v>#NUM!</v>
      </c>
      <c r="R54" s="96" t="e">
        <f t="shared" si="13"/>
        <v>#NUM!</v>
      </c>
      <c r="S54" s="96" t="e">
        <f t="shared" si="13"/>
        <v>#NUM!</v>
      </c>
      <c r="T54" s="96" t="e">
        <f t="shared" si="14"/>
        <v>#NUM!</v>
      </c>
      <c r="U54" s="96" t="e">
        <f t="shared" si="14"/>
        <v>#NUM!</v>
      </c>
      <c r="V54" s="96" t="e">
        <f t="shared" si="14"/>
        <v>#NUM!</v>
      </c>
      <c r="W54" s="96" t="e">
        <f t="shared" si="14"/>
        <v>#NUM!</v>
      </c>
      <c r="X54" s="96" t="e">
        <f t="shared" si="14"/>
        <v>#NUM!</v>
      </c>
      <c r="Y54" s="96" t="e">
        <f t="shared" si="14"/>
        <v>#NUM!</v>
      </c>
      <c r="Z54" s="96" t="e">
        <f t="shared" si="14"/>
        <v>#NUM!</v>
      </c>
      <c r="AA54" s="96" t="e">
        <f t="shared" si="14"/>
        <v>#NUM!</v>
      </c>
    </row>
    <row r="55" spans="1:27" x14ac:dyDescent="0.35">
      <c r="B55">
        <v>0.5</v>
      </c>
      <c r="C55" s="96" t="e">
        <f t="shared" si="15"/>
        <v>#NUM!</v>
      </c>
      <c r="D55" s="96">
        <f t="shared" si="13"/>
        <v>101.73534407632064</v>
      </c>
      <c r="E55" s="96">
        <f t="shared" si="13"/>
        <v>147.37392898367617</v>
      </c>
      <c r="F55" s="96">
        <f t="shared" si="13"/>
        <v>193.0146996669894</v>
      </c>
      <c r="G55" s="96">
        <f t="shared" si="13"/>
        <v>238.87742698862473</v>
      </c>
      <c r="H55" s="96">
        <f t="shared" si="13"/>
        <v>255.80898262772752</v>
      </c>
      <c r="I55" s="96">
        <f t="shared" si="13"/>
        <v>264.12137732849612</v>
      </c>
      <c r="J55" s="96">
        <f t="shared" si="13"/>
        <v>269.93214240209494</v>
      </c>
      <c r="K55" s="96">
        <f t="shared" si="13"/>
        <v>275.15013073507339</v>
      </c>
      <c r="L55" s="96">
        <f t="shared" si="13"/>
        <v>280.85495108909282</v>
      </c>
      <c r="M55" s="96">
        <f t="shared" si="13"/>
        <v>289.47233900898203</v>
      </c>
      <c r="N55" s="96" t="e">
        <f t="shared" si="13"/>
        <v>#NUM!</v>
      </c>
      <c r="O55" s="96" t="e">
        <f t="shared" si="13"/>
        <v>#NUM!</v>
      </c>
      <c r="P55" s="96" t="e">
        <f t="shared" si="13"/>
        <v>#NUM!</v>
      </c>
      <c r="Q55" s="96" t="e">
        <f t="shared" si="13"/>
        <v>#NUM!</v>
      </c>
      <c r="R55" s="96" t="e">
        <f t="shared" si="13"/>
        <v>#NUM!</v>
      </c>
      <c r="S55" s="96" t="e">
        <f t="shared" si="13"/>
        <v>#NUM!</v>
      </c>
      <c r="T55" s="96" t="e">
        <f t="shared" si="14"/>
        <v>#NUM!</v>
      </c>
      <c r="U55" s="96" t="e">
        <f t="shared" si="14"/>
        <v>#NUM!</v>
      </c>
      <c r="V55" s="96" t="e">
        <f t="shared" si="14"/>
        <v>#NUM!</v>
      </c>
      <c r="W55" s="96" t="e">
        <f t="shared" si="14"/>
        <v>#NUM!</v>
      </c>
      <c r="X55" s="96" t="e">
        <f t="shared" si="14"/>
        <v>#NUM!</v>
      </c>
      <c r="Y55" s="96" t="e">
        <f t="shared" si="14"/>
        <v>#NUM!</v>
      </c>
      <c r="Z55" s="96" t="e">
        <f t="shared" si="14"/>
        <v>#NUM!</v>
      </c>
      <c r="AA55" s="96" t="e">
        <f t="shared" si="14"/>
        <v>#NUM!</v>
      </c>
    </row>
    <row r="56" spans="1:27" x14ac:dyDescent="0.35">
      <c r="B56">
        <v>0.6</v>
      </c>
      <c r="C56" s="96" t="e">
        <f t="shared" si="15"/>
        <v>#NUM!</v>
      </c>
      <c r="D56" s="96">
        <f t="shared" si="13"/>
        <v>101.28362929221154</v>
      </c>
      <c r="E56" s="96">
        <f t="shared" si="13"/>
        <v>146.92221419956707</v>
      </c>
      <c r="F56" s="96">
        <f t="shared" si="13"/>
        <v>192.56298488288027</v>
      </c>
      <c r="G56" s="96">
        <f t="shared" si="13"/>
        <v>238.42571220451561</v>
      </c>
      <c r="H56" s="96">
        <f t="shared" si="13"/>
        <v>255.35726784361839</v>
      </c>
      <c r="I56" s="96">
        <f t="shared" si="13"/>
        <v>263.66966254438699</v>
      </c>
      <c r="J56" s="96">
        <f t="shared" si="13"/>
        <v>269.48042761798581</v>
      </c>
      <c r="K56" s="96">
        <f t="shared" si="13"/>
        <v>274.69841595096426</v>
      </c>
      <c r="L56" s="96">
        <f t="shared" si="13"/>
        <v>280.40323630498369</v>
      </c>
      <c r="M56" s="96">
        <f t="shared" si="13"/>
        <v>289.0206242248729</v>
      </c>
      <c r="N56" s="96" t="e">
        <f t="shared" si="13"/>
        <v>#NUM!</v>
      </c>
      <c r="O56" s="96" t="e">
        <f t="shared" si="13"/>
        <v>#NUM!</v>
      </c>
      <c r="P56" s="96" t="e">
        <f t="shared" si="13"/>
        <v>#NUM!</v>
      </c>
      <c r="Q56" s="96" t="e">
        <f t="shared" si="13"/>
        <v>#NUM!</v>
      </c>
      <c r="R56" s="96" t="e">
        <f t="shared" si="13"/>
        <v>#NUM!</v>
      </c>
      <c r="S56" s="96" t="e">
        <f t="shared" si="13"/>
        <v>#NUM!</v>
      </c>
      <c r="T56" s="96" t="e">
        <f t="shared" si="14"/>
        <v>#NUM!</v>
      </c>
      <c r="U56" s="96" t="e">
        <f t="shared" si="14"/>
        <v>#NUM!</v>
      </c>
      <c r="V56" s="96" t="e">
        <f t="shared" si="14"/>
        <v>#NUM!</v>
      </c>
      <c r="W56" s="96" t="e">
        <f t="shared" si="14"/>
        <v>#NUM!</v>
      </c>
      <c r="X56" s="96" t="e">
        <f t="shared" si="14"/>
        <v>#NUM!</v>
      </c>
      <c r="Y56" s="96" t="e">
        <f t="shared" si="14"/>
        <v>#NUM!</v>
      </c>
      <c r="Z56" s="96" t="e">
        <f t="shared" si="14"/>
        <v>#NUM!</v>
      </c>
      <c r="AA56" s="96" t="e">
        <f t="shared" si="14"/>
        <v>#NUM!</v>
      </c>
    </row>
    <row r="57" spans="1:27" x14ac:dyDescent="0.35">
      <c r="B57">
        <v>0.7</v>
      </c>
      <c r="C57" s="96" t="e">
        <f t="shared" si="15"/>
        <v>#NUM!</v>
      </c>
      <c r="D57" s="96">
        <f t="shared" si="13"/>
        <v>100.90170988409054</v>
      </c>
      <c r="E57" s="96">
        <f t="shared" si="13"/>
        <v>146.54029479144606</v>
      </c>
      <c r="F57" s="96">
        <f t="shared" si="13"/>
        <v>192.18106547475929</v>
      </c>
      <c r="G57" s="96">
        <f t="shared" si="13"/>
        <v>238.04379279639463</v>
      </c>
      <c r="H57" s="96">
        <f t="shared" si="13"/>
        <v>254.97534843549741</v>
      </c>
      <c r="I57" s="96">
        <f t="shared" si="13"/>
        <v>263.28774313626599</v>
      </c>
      <c r="J57" s="96">
        <f t="shared" si="13"/>
        <v>269.09850820986486</v>
      </c>
      <c r="K57" s="96">
        <f t="shared" si="13"/>
        <v>274.31649654284331</v>
      </c>
      <c r="L57" s="96">
        <f t="shared" si="13"/>
        <v>280.02131689686274</v>
      </c>
      <c r="M57" s="96">
        <f t="shared" si="13"/>
        <v>288.6387048167519</v>
      </c>
      <c r="N57" s="96" t="e">
        <f t="shared" si="13"/>
        <v>#NUM!</v>
      </c>
      <c r="O57" s="96" t="e">
        <f t="shared" si="13"/>
        <v>#NUM!</v>
      </c>
      <c r="P57" s="96" t="e">
        <f t="shared" si="13"/>
        <v>#NUM!</v>
      </c>
      <c r="Q57" s="96" t="e">
        <f t="shared" si="13"/>
        <v>#NUM!</v>
      </c>
      <c r="R57" s="96" t="e">
        <f t="shared" si="13"/>
        <v>#NUM!</v>
      </c>
      <c r="S57" s="96" t="e">
        <f t="shared" si="13"/>
        <v>#NUM!</v>
      </c>
      <c r="T57" s="96" t="e">
        <f t="shared" si="14"/>
        <v>#NUM!</v>
      </c>
      <c r="U57" s="96" t="e">
        <f t="shared" si="14"/>
        <v>#NUM!</v>
      </c>
      <c r="V57" s="96" t="e">
        <f t="shared" si="14"/>
        <v>#NUM!</v>
      </c>
      <c r="W57" s="96" t="e">
        <f t="shared" si="14"/>
        <v>#NUM!</v>
      </c>
      <c r="X57" s="96" t="e">
        <f t="shared" si="14"/>
        <v>#NUM!</v>
      </c>
      <c r="Y57" s="96" t="e">
        <f t="shared" si="14"/>
        <v>#NUM!</v>
      </c>
      <c r="Z57" s="96" t="e">
        <f t="shared" si="14"/>
        <v>#NUM!</v>
      </c>
      <c r="AA57" s="96" t="e">
        <f t="shared" si="14"/>
        <v>#NUM!</v>
      </c>
    </row>
    <row r="58" spans="1:27" x14ac:dyDescent="0.35">
      <c r="B58">
        <v>0.8</v>
      </c>
      <c r="C58" s="96" t="e">
        <f t="shared" si="15"/>
        <v>#NUM!</v>
      </c>
      <c r="D58" s="96">
        <f t="shared" si="13"/>
        <v>100.57087624460303</v>
      </c>
      <c r="E58" s="96">
        <f t="shared" si="13"/>
        <v>146.20946115195855</v>
      </c>
      <c r="F58" s="96">
        <f t="shared" si="13"/>
        <v>191.85023183527176</v>
      </c>
      <c r="G58" s="96">
        <f t="shared" si="13"/>
        <v>237.71295915690712</v>
      </c>
      <c r="H58" s="96">
        <f t="shared" si="13"/>
        <v>254.6445147960099</v>
      </c>
      <c r="I58" s="96">
        <f t="shared" si="13"/>
        <v>262.95690949677851</v>
      </c>
      <c r="J58" s="96">
        <f t="shared" si="13"/>
        <v>268.76767457037732</v>
      </c>
      <c r="K58" s="96">
        <f t="shared" si="13"/>
        <v>273.98566290335577</v>
      </c>
      <c r="L58" s="96">
        <f t="shared" si="13"/>
        <v>279.69048325737521</v>
      </c>
      <c r="M58" s="96">
        <f t="shared" si="13"/>
        <v>288.30787117726442</v>
      </c>
      <c r="N58" s="96" t="e">
        <f t="shared" si="13"/>
        <v>#NUM!</v>
      </c>
      <c r="O58" s="96" t="e">
        <f t="shared" si="13"/>
        <v>#NUM!</v>
      </c>
      <c r="P58" s="96" t="e">
        <f t="shared" si="13"/>
        <v>#NUM!</v>
      </c>
      <c r="Q58" s="96" t="e">
        <f t="shared" si="13"/>
        <v>#NUM!</v>
      </c>
      <c r="R58" s="96" t="e">
        <f t="shared" si="13"/>
        <v>#NUM!</v>
      </c>
      <c r="S58" s="96" t="e">
        <f t="shared" si="13"/>
        <v>#NUM!</v>
      </c>
      <c r="T58" s="96" t="e">
        <f t="shared" si="14"/>
        <v>#NUM!</v>
      </c>
      <c r="U58" s="96" t="e">
        <f t="shared" si="14"/>
        <v>#NUM!</v>
      </c>
      <c r="V58" s="96" t="e">
        <f t="shared" si="14"/>
        <v>#NUM!</v>
      </c>
      <c r="W58" s="96" t="e">
        <f t="shared" si="14"/>
        <v>#NUM!</v>
      </c>
      <c r="X58" s="96" t="e">
        <f t="shared" si="14"/>
        <v>#NUM!</v>
      </c>
      <c r="Y58" s="96" t="e">
        <f t="shared" si="14"/>
        <v>#NUM!</v>
      </c>
      <c r="Z58" s="96" t="e">
        <f t="shared" si="14"/>
        <v>#NUM!</v>
      </c>
      <c r="AA58" s="96" t="e">
        <f t="shared" si="14"/>
        <v>#NUM!</v>
      </c>
    </row>
    <row r="59" spans="1:27" x14ac:dyDescent="0.35">
      <c r="B59">
        <v>0.9</v>
      </c>
      <c r="C59" s="96" t="e">
        <f t="shared" si="15"/>
        <v>#NUM!</v>
      </c>
      <c r="D59" s="96">
        <f t="shared" si="13"/>
        <v>100.27906029338575</v>
      </c>
      <c r="E59" s="96">
        <f t="shared" si="13"/>
        <v>145.9176452007413</v>
      </c>
      <c r="F59" s="96">
        <f t="shared" si="13"/>
        <v>191.55841588405451</v>
      </c>
      <c r="G59" s="96">
        <f t="shared" si="13"/>
        <v>237.42114320568984</v>
      </c>
      <c r="H59" s="96">
        <f t="shared" si="13"/>
        <v>254.35269884479263</v>
      </c>
      <c r="I59" s="96">
        <f t="shared" si="13"/>
        <v>262.66509354556121</v>
      </c>
      <c r="J59" s="96">
        <f t="shared" si="13"/>
        <v>268.47585861916008</v>
      </c>
      <c r="K59" s="96">
        <f t="shared" si="13"/>
        <v>273.69384695213853</v>
      </c>
      <c r="L59" s="96">
        <f t="shared" si="13"/>
        <v>279.39866730615796</v>
      </c>
      <c r="M59" s="96">
        <f t="shared" si="13"/>
        <v>288.01605522604711</v>
      </c>
      <c r="N59" s="96" t="e">
        <f t="shared" si="13"/>
        <v>#NUM!</v>
      </c>
      <c r="O59" s="96" t="e">
        <f t="shared" si="13"/>
        <v>#NUM!</v>
      </c>
      <c r="P59" s="96" t="e">
        <f t="shared" si="13"/>
        <v>#NUM!</v>
      </c>
      <c r="Q59" s="96" t="e">
        <f t="shared" si="13"/>
        <v>#NUM!</v>
      </c>
      <c r="R59" s="96" t="e">
        <f t="shared" si="13"/>
        <v>#NUM!</v>
      </c>
      <c r="S59" s="96" t="e">
        <f t="shared" si="13"/>
        <v>#NUM!</v>
      </c>
      <c r="T59" s="96" t="e">
        <f t="shared" si="14"/>
        <v>#NUM!</v>
      </c>
      <c r="U59" s="96" t="e">
        <f t="shared" si="14"/>
        <v>#NUM!</v>
      </c>
      <c r="V59" s="96" t="e">
        <f t="shared" si="14"/>
        <v>#NUM!</v>
      </c>
      <c r="W59" s="96" t="e">
        <f t="shared" si="14"/>
        <v>#NUM!</v>
      </c>
      <c r="X59" s="96" t="e">
        <f t="shared" si="14"/>
        <v>#NUM!</v>
      </c>
      <c r="Y59" s="96" t="e">
        <f t="shared" si="14"/>
        <v>#NUM!</v>
      </c>
      <c r="Z59" s="96" t="e">
        <f t="shared" si="14"/>
        <v>#NUM!</v>
      </c>
      <c r="AA59" s="96" t="e">
        <f t="shared" si="14"/>
        <v>#NUM!</v>
      </c>
    </row>
    <row r="60" spans="1:27" x14ac:dyDescent="0.35">
      <c r="B60">
        <v>1</v>
      </c>
      <c r="C60" s="96" t="e">
        <f t="shared" si="15"/>
        <v>#NUM!</v>
      </c>
      <c r="D60" s="96">
        <f t="shared" si="13"/>
        <v>100.0180220298864</v>
      </c>
      <c r="E60" s="96">
        <f t="shared" si="13"/>
        <v>145.65660693724189</v>
      </c>
      <c r="F60" s="96">
        <f t="shared" si="13"/>
        <v>191.29737762055512</v>
      </c>
      <c r="G60" s="96">
        <f t="shared" si="13"/>
        <v>237.16010494219046</v>
      </c>
      <c r="H60" s="96">
        <f t="shared" si="13"/>
        <v>254.09166058129324</v>
      </c>
      <c r="I60" s="96">
        <f t="shared" si="13"/>
        <v>262.40405528206185</v>
      </c>
      <c r="J60" s="96">
        <f t="shared" si="13"/>
        <v>268.21482035566066</v>
      </c>
      <c r="K60" s="96">
        <f t="shared" si="13"/>
        <v>273.43280868863911</v>
      </c>
      <c r="L60" s="96">
        <f t="shared" si="13"/>
        <v>279.13762904265855</v>
      </c>
      <c r="M60" s="96">
        <f t="shared" si="13"/>
        <v>287.75501696254776</v>
      </c>
      <c r="N60" s="96" t="e">
        <f t="shared" si="13"/>
        <v>#NUM!</v>
      </c>
      <c r="O60" s="96" t="e">
        <f t="shared" si="13"/>
        <v>#NUM!</v>
      </c>
      <c r="P60" s="96" t="e">
        <f t="shared" si="13"/>
        <v>#NUM!</v>
      </c>
      <c r="Q60" s="96" t="e">
        <f t="shared" si="13"/>
        <v>#NUM!</v>
      </c>
      <c r="R60" s="96" t="e">
        <f t="shared" si="13"/>
        <v>#NUM!</v>
      </c>
      <c r="S60" s="96" t="e">
        <f t="shared" si="13"/>
        <v>#NUM!</v>
      </c>
      <c r="T60" s="96" t="e">
        <f t="shared" si="14"/>
        <v>#NUM!</v>
      </c>
      <c r="U60" s="96" t="e">
        <f t="shared" si="14"/>
        <v>#NUM!</v>
      </c>
      <c r="V60" s="96" t="e">
        <f t="shared" si="14"/>
        <v>#NUM!</v>
      </c>
      <c r="W60" s="96" t="e">
        <f t="shared" si="14"/>
        <v>#NUM!</v>
      </c>
      <c r="X60" s="96" t="e">
        <f t="shared" si="14"/>
        <v>#NUM!</v>
      </c>
      <c r="Y60" s="96" t="e">
        <f t="shared" si="14"/>
        <v>#NUM!</v>
      </c>
      <c r="Z60" s="96" t="e">
        <f t="shared" si="14"/>
        <v>#NUM!</v>
      </c>
      <c r="AA60" s="96" t="e">
        <f t="shared" si="14"/>
        <v>#NUM!</v>
      </c>
    </row>
    <row r="62" spans="1:27" x14ac:dyDescent="0.35">
      <c r="A62" t="s">
        <v>593</v>
      </c>
      <c r="B62" t="s">
        <v>594</v>
      </c>
      <c r="D62" s="98" t="s">
        <v>590</v>
      </c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</row>
    <row r="63" spans="1:27" x14ac:dyDescent="0.35">
      <c r="A63">
        <v>4</v>
      </c>
      <c r="B63" t="s">
        <v>591</v>
      </c>
      <c r="C63">
        <v>0</v>
      </c>
      <c r="D63">
        <v>1E-8</v>
      </c>
      <c r="E63">
        <v>9.9999999999999995E-7</v>
      </c>
      <c r="F63">
        <v>1E-4</v>
      </c>
      <c r="G63">
        <v>0.01</v>
      </c>
      <c r="H63">
        <v>0.05</v>
      </c>
      <c r="I63">
        <v>0.1</v>
      </c>
      <c r="J63">
        <v>0.15</v>
      </c>
      <c r="K63">
        <v>0.2</v>
      </c>
      <c r="L63">
        <v>0.25</v>
      </c>
      <c r="M63">
        <v>0.3</v>
      </c>
      <c r="N63">
        <v>0.35</v>
      </c>
      <c r="O63">
        <v>0.4</v>
      </c>
      <c r="P63">
        <v>0.45</v>
      </c>
      <c r="Q63">
        <v>0.5</v>
      </c>
      <c r="R63">
        <v>0.55000000000000004</v>
      </c>
      <c r="S63">
        <v>0.6</v>
      </c>
      <c r="T63">
        <v>0.65</v>
      </c>
      <c r="U63">
        <v>0.7</v>
      </c>
      <c r="V63">
        <v>0.75</v>
      </c>
      <c r="W63">
        <v>0.8</v>
      </c>
      <c r="X63">
        <v>0.85</v>
      </c>
      <c r="Y63">
        <v>0.9</v>
      </c>
      <c r="Z63">
        <v>0.95</v>
      </c>
      <c r="AA63">
        <v>1</v>
      </c>
    </row>
    <row r="64" spans="1:27" x14ac:dyDescent="0.35">
      <c r="A64">
        <v>274.40659999974702</v>
      </c>
      <c r="B64">
        <v>0</v>
      </c>
      <c r="C64" s="96" t="e">
        <f>274.406599999747+0.008314*298*LN((C$63*($A$63*C$63)^($A$63))/($B64*(1-$A$63*C$63)^($A$63)))</f>
        <v>#DIV/0!</v>
      </c>
      <c r="D64" s="96" t="e">
        <f t="shared" ref="D64:T75" si="16">274.406599999747+0.008314*298*LN((D$63*($A$63*D$63)^($A$63))/($B64*(1-$A$63*D$63)^($A$63)))</f>
        <v>#DIV/0!</v>
      </c>
      <c r="E64" s="96" t="e">
        <f t="shared" si="16"/>
        <v>#DIV/0!</v>
      </c>
      <c r="F64" s="96" t="e">
        <f t="shared" si="16"/>
        <v>#DIV/0!</v>
      </c>
      <c r="G64" s="96" t="e">
        <f t="shared" si="16"/>
        <v>#DIV/0!</v>
      </c>
      <c r="H64" s="96" t="e">
        <f t="shared" si="16"/>
        <v>#DIV/0!</v>
      </c>
      <c r="I64" s="96" t="e">
        <f t="shared" si="16"/>
        <v>#DIV/0!</v>
      </c>
      <c r="J64" s="96" t="e">
        <f t="shared" si="16"/>
        <v>#DIV/0!</v>
      </c>
      <c r="K64" s="96" t="e">
        <f t="shared" si="16"/>
        <v>#DIV/0!</v>
      </c>
      <c r="L64" s="96" t="e">
        <f t="shared" si="16"/>
        <v>#DIV/0!</v>
      </c>
      <c r="M64" s="96" t="e">
        <f t="shared" si="16"/>
        <v>#DIV/0!</v>
      </c>
      <c r="N64" s="96" t="e">
        <f t="shared" si="16"/>
        <v>#DIV/0!</v>
      </c>
      <c r="O64" s="96" t="e">
        <f t="shared" si="16"/>
        <v>#DIV/0!</v>
      </c>
      <c r="P64" s="96" t="e">
        <f t="shared" si="16"/>
        <v>#DIV/0!</v>
      </c>
      <c r="Q64" s="96" t="e">
        <f t="shared" si="16"/>
        <v>#DIV/0!</v>
      </c>
      <c r="R64" s="96" t="e">
        <f t="shared" si="16"/>
        <v>#DIV/0!</v>
      </c>
      <c r="S64" s="96" t="e">
        <f t="shared" si="16"/>
        <v>#DIV/0!</v>
      </c>
      <c r="T64" s="96" t="e">
        <f t="shared" si="16"/>
        <v>#DIV/0!</v>
      </c>
      <c r="U64" s="96" t="e">
        <f t="shared" ref="T64:AA75" si="17">274.406599999747+0.008314*298*LN((U$63*($A$63*U$63)^($A$63))/($B64*(1-$A$63*U$63)^($A$63)))</f>
        <v>#DIV/0!</v>
      </c>
      <c r="V64" s="96" t="e">
        <f t="shared" si="17"/>
        <v>#DIV/0!</v>
      </c>
      <c r="W64" s="96" t="e">
        <f t="shared" si="17"/>
        <v>#DIV/0!</v>
      </c>
      <c r="X64" s="96" t="e">
        <f t="shared" si="17"/>
        <v>#DIV/0!</v>
      </c>
      <c r="Y64" s="96" t="e">
        <f t="shared" si="17"/>
        <v>#DIV/0!</v>
      </c>
      <c r="Z64" s="96" t="e">
        <f t="shared" si="17"/>
        <v>#DIV/0!</v>
      </c>
      <c r="AA64" s="96" t="e">
        <f t="shared" si="17"/>
        <v>#DIV/0!</v>
      </c>
    </row>
    <row r="65" spans="1:27" x14ac:dyDescent="0.35">
      <c r="B65">
        <v>1.0000000000000001E-5</v>
      </c>
      <c r="C65" s="96"/>
      <c r="D65" s="96">
        <f t="shared" si="16"/>
        <v>88.476464376952151</v>
      </c>
      <c r="E65" s="96">
        <f t="shared" si="16"/>
        <v>145.52470716196635</v>
      </c>
      <c r="F65" s="96">
        <f t="shared" si="16"/>
        <v>202.57683596916399</v>
      </c>
      <c r="G65" s="96">
        <f t="shared" si="16"/>
        <v>260.02563232355408</v>
      </c>
      <c r="H65" s="96">
        <f t="shared" si="16"/>
        <v>281.76998299791643</v>
      </c>
      <c r="I65" s="96">
        <f t="shared" si="16"/>
        <v>293.20760542052176</v>
      </c>
      <c r="J65" s="96">
        <f t="shared" si="16"/>
        <v>302.24872640995358</v>
      </c>
      <c r="K65" s="96">
        <f t="shared" si="16"/>
        <v>312.68177983373317</v>
      </c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spans="1:27" x14ac:dyDescent="0.35">
      <c r="B66">
        <v>0.1</v>
      </c>
      <c r="C66" s="96" t="e">
        <f t="shared" ref="C66:C75" si="18">274.406599999747+0.008314*298*LN((C$63*($A$63*C$63)^($A$63))/($B66*(1-$A$63*C$63)^($A$63)))</f>
        <v>#NUM!</v>
      </c>
      <c r="D66" s="96">
        <f t="shared" si="16"/>
        <v>65.657182960874366</v>
      </c>
      <c r="E66" s="96">
        <f t="shared" si="16"/>
        <v>122.70542574588856</v>
      </c>
      <c r="F66" s="96">
        <f t="shared" si="16"/>
        <v>179.75755455308621</v>
      </c>
      <c r="G66" s="96">
        <f t="shared" si="16"/>
        <v>237.20635090747629</v>
      </c>
      <c r="H66" s="96">
        <f t="shared" si="16"/>
        <v>258.95070158183864</v>
      </c>
      <c r="I66" s="96">
        <f t="shared" si="16"/>
        <v>270.38832400444397</v>
      </c>
      <c r="J66" s="96">
        <f t="shared" si="16"/>
        <v>279.42944499387579</v>
      </c>
      <c r="K66" s="96">
        <f t="shared" si="16"/>
        <v>289.86249841765539</v>
      </c>
      <c r="L66" s="96" t="e">
        <f t="shared" si="16"/>
        <v>#DIV/0!</v>
      </c>
      <c r="M66" s="96">
        <f t="shared" si="16"/>
        <v>294.88534341178422</v>
      </c>
      <c r="N66" s="96">
        <f t="shared" si="16"/>
        <v>289.92565226665204</v>
      </c>
      <c r="O66" s="96">
        <f t="shared" si="16"/>
        <v>287.56154446878662</v>
      </c>
      <c r="P66" s="96">
        <f t="shared" si="16"/>
        <v>286.1696120344389</v>
      </c>
      <c r="Q66" s="96">
        <f t="shared" si="16"/>
        <v>285.26338649306928</v>
      </c>
      <c r="R66" s="96">
        <f t="shared" si="16"/>
        <v>284.63721652062361</v>
      </c>
      <c r="S66" s="96">
        <f t="shared" si="16"/>
        <v>284.18742364469443</v>
      </c>
      <c r="T66" s="96">
        <f t="shared" si="17"/>
        <v>283.85564694342503</v>
      </c>
      <c r="U66" s="96">
        <f t="shared" si="17"/>
        <v>283.60642232248023</v>
      </c>
      <c r="V66" s="96">
        <f t="shared" si="17"/>
        <v>283.416943301461</v>
      </c>
      <c r="W66" s="96">
        <f t="shared" si="17"/>
        <v>283.27188613472765</v>
      </c>
      <c r="X66" s="96">
        <f t="shared" si="17"/>
        <v>283.16058765709874</v>
      </c>
      <c r="Y66" s="96">
        <f t="shared" si="17"/>
        <v>283.07541180022554</v>
      </c>
      <c r="Z66" s="96">
        <f t="shared" si="17"/>
        <v>283.01075762077141</v>
      </c>
      <c r="AA66" s="96">
        <f t="shared" si="17"/>
        <v>282.96243254420045</v>
      </c>
    </row>
    <row r="67" spans="1:27" x14ac:dyDescent="0.35">
      <c r="B67">
        <v>0.2</v>
      </c>
      <c r="C67" s="96" t="e">
        <f t="shared" si="18"/>
        <v>#NUM!</v>
      </c>
      <c r="D67" s="96">
        <f t="shared" si="16"/>
        <v>63.939860914440089</v>
      </c>
      <c r="E67" s="96">
        <f t="shared" si="16"/>
        <v>120.98810369945429</v>
      </c>
      <c r="F67" s="96">
        <f t="shared" si="16"/>
        <v>178.04023250665199</v>
      </c>
      <c r="G67" s="96">
        <f t="shared" si="16"/>
        <v>235.48902886104202</v>
      </c>
      <c r="H67" s="96">
        <f t="shared" si="16"/>
        <v>257.23337953540437</v>
      </c>
      <c r="I67" s="96">
        <f t="shared" si="16"/>
        <v>268.6710019580097</v>
      </c>
      <c r="J67" s="96">
        <f t="shared" si="16"/>
        <v>277.71212294744157</v>
      </c>
      <c r="K67" s="96">
        <f t="shared" si="16"/>
        <v>288.14517637122111</v>
      </c>
      <c r="L67" s="96" t="e">
        <f t="shared" si="16"/>
        <v>#DIV/0!</v>
      </c>
      <c r="M67" s="96">
        <f t="shared" si="16"/>
        <v>293.16802136534994</v>
      </c>
      <c r="N67" s="96">
        <f t="shared" si="16"/>
        <v>288.20833022021776</v>
      </c>
      <c r="O67" s="96">
        <f t="shared" si="16"/>
        <v>285.84422242235235</v>
      </c>
      <c r="P67" s="96">
        <f t="shared" si="16"/>
        <v>284.45228998800462</v>
      </c>
      <c r="Q67" s="96">
        <f t="shared" si="16"/>
        <v>283.546064446635</v>
      </c>
      <c r="R67" s="96">
        <f t="shared" si="16"/>
        <v>282.91989447418933</v>
      </c>
      <c r="S67" s="96">
        <f t="shared" si="16"/>
        <v>282.47010159826016</v>
      </c>
      <c r="T67" s="96">
        <f t="shared" si="17"/>
        <v>282.13832489699075</v>
      </c>
      <c r="U67" s="96">
        <f t="shared" si="17"/>
        <v>281.88910027604595</v>
      </c>
      <c r="V67" s="96">
        <f t="shared" si="17"/>
        <v>281.69962125502673</v>
      </c>
      <c r="W67" s="96">
        <f t="shared" si="17"/>
        <v>281.55456408829338</v>
      </c>
      <c r="X67" s="96">
        <f t="shared" si="17"/>
        <v>281.44326561066453</v>
      </c>
      <c r="Y67" s="96">
        <f t="shared" si="17"/>
        <v>281.35808975379132</v>
      </c>
      <c r="Z67" s="96">
        <f t="shared" si="17"/>
        <v>281.29343557433714</v>
      </c>
      <c r="AA67" s="96">
        <f t="shared" si="17"/>
        <v>281.24511049776623</v>
      </c>
    </row>
    <row r="68" spans="1:27" x14ac:dyDescent="0.35">
      <c r="B68">
        <v>0.3</v>
      </c>
      <c r="C68" s="96" t="e">
        <f t="shared" si="18"/>
        <v>#NUM!</v>
      </c>
      <c r="D68" s="96">
        <f t="shared" si="16"/>
        <v>62.935291915614357</v>
      </c>
      <c r="E68" s="96">
        <f t="shared" si="16"/>
        <v>119.98353470062852</v>
      </c>
      <c r="F68" s="96">
        <f t="shared" si="16"/>
        <v>177.0356635078262</v>
      </c>
      <c r="G68" s="96">
        <f t="shared" si="16"/>
        <v>234.48445986221626</v>
      </c>
      <c r="H68" s="96">
        <f t="shared" si="16"/>
        <v>256.22881053657864</v>
      </c>
      <c r="I68" s="96">
        <f t="shared" si="16"/>
        <v>267.66643295918396</v>
      </c>
      <c r="J68" s="96">
        <f t="shared" si="16"/>
        <v>276.70755394861578</v>
      </c>
      <c r="K68" s="96">
        <f t="shared" si="16"/>
        <v>287.14060737239538</v>
      </c>
      <c r="L68" s="96" t="e">
        <f t="shared" si="16"/>
        <v>#DIV/0!</v>
      </c>
      <c r="M68" s="96">
        <f t="shared" si="16"/>
        <v>292.16345236652415</v>
      </c>
      <c r="N68" s="96">
        <f t="shared" si="16"/>
        <v>287.20376122139203</v>
      </c>
      <c r="O68" s="96">
        <f t="shared" si="16"/>
        <v>284.83965342352661</v>
      </c>
      <c r="P68" s="96">
        <f t="shared" si="16"/>
        <v>283.44772098917889</v>
      </c>
      <c r="Q68" s="96">
        <f t="shared" si="16"/>
        <v>282.54149544780921</v>
      </c>
      <c r="R68" s="96">
        <f t="shared" si="16"/>
        <v>281.9153254753636</v>
      </c>
      <c r="S68" s="96">
        <f t="shared" si="16"/>
        <v>281.46553259943443</v>
      </c>
      <c r="T68" s="96">
        <f t="shared" si="17"/>
        <v>281.13375589816502</v>
      </c>
      <c r="U68" s="96">
        <f t="shared" si="17"/>
        <v>280.88453127722022</v>
      </c>
      <c r="V68" s="96">
        <f t="shared" si="17"/>
        <v>280.695052256201</v>
      </c>
      <c r="W68" s="96">
        <f t="shared" si="17"/>
        <v>280.54999508946759</v>
      </c>
      <c r="X68" s="96">
        <f t="shared" si="17"/>
        <v>280.43869661183874</v>
      </c>
      <c r="Y68" s="96">
        <f t="shared" si="17"/>
        <v>280.35352075496553</v>
      </c>
      <c r="Z68" s="96">
        <f t="shared" si="17"/>
        <v>280.28886657551135</v>
      </c>
      <c r="AA68" s="96">
        <f t="shared" si="17"/>
        <v>280.24054149894044</v>
      </c>
    </row>
    <row r="69" spans="1:27" x14ac:dyDescent="0.35">
      <c r="B69">
        <v>0.4</v>
      </c>
      <c r="C69" s="96" t="e">
        <f t="shared" si="18"/>
        <v>#NUM!</v>
      </c>
      <c r="D69" s="96">
        <f t="shared" si="16"/>
        <v>62.222538868005813</v>
      </c>
      <c r="E69" s="96">
        <f t="shared" si="16"/>
        <v>119.27078165302004</v>
      </c>
      <c r="F69" s="96">
        <f t="shared" si="16"/>
        <v>176.32291046021771</v>
      </c>
      <c r="G69" s="96">
        <f t="shared" si="16"/>
        <v>233.77170681460777</v>
      </c>
      <c r="H69" s="96">
        <f t="shared" si="16"/>
        <v>255.51605748897009</v>
      </c>
      <c r="I69" s="96">
        <f t="shared" si="16"/>
        <v>266.95367991157542</v>
      </c>
      <c r="J69" s="96">
        <f t="shared" si="16"/>
        <v>275.9948009010073</v>
      </c>
      <c r="K69" s="96">
        <f t="shared" si="16"/>
        <v>286.42785432478689</v>
      </c>
      <c r="L69" s="96" t="e">
        <f t="shared" si="16"/>
        <v>#DIV/0!</v>
      </c>
      <c r="M69" s="96">
        <f t="shared" si="16"/>
        <v>291.45069931891567</v>
      </c>
      <c r="N69" s="96">
        <f t="shared" si="16"/>
        <v>286.49100817378354</v>
      </c>
      <c r="O69" s="96">
        <f t="shared" si="16"/>
        <v>284.12690037591807</v>
      </c>
      <c r="P69" s="96">
        <f t="shared" si="16"/>
        <v>282.73496794157035</v>
      </c>
      <c r="Q69" s="96">
        <f t="shared" si="16"/>
        <v>281.82874240020072</v>
      </c>
      <c r="R69" s="96">
        <f t="shared" si="16"/>
        <v>281.20257242775506</v>
      </c>
      <c r="S69" s="96">
        <f t="shared" si="16"/>
        <v>280.75277955182594</v>
      </c>
      <c r="T69" s="96">
        <f t="shared" si="17"/>
        <v>280.42100285055653</v>
      </c>
      <c r="U69" s="96">
        <f t="shared" si="17"/>
        <v>280.17177822961168</v>
      </c>
      <c r="V69" s="96">
        <f t="shared" si="17"/>
        <v>279.98229920859245</v>
      </c>
      <c r="W69" s="96">
        <f t="shared" si="17"/>
        <v>279.8372420418591</v>
      </c>
      <c r="X69" s="96">
        <f t="shared" si="17"/>
        <v>279.72594356423025</v>
      </c>
      <c r="Y69" s="96">
        <f t="shared" si="17"/>
        <v>279.64076770735704</v>
      </c>
      <c r="Z69" s="96">
        <f t="shared" si="17"/>
        <v>279.57611352790286</v>
      </c>
      <c r="AA69" s="96">
        <f t="shared" si="17"/>
        <v>279.52778845133196</v>
      </c>
    </row>
    <row r="70" spans="1:27" x14ac:dyDescent="0.35">
      <c r="B70">
        <v>0.5</v>
      </c>
      <c r="C70" s="96" t="e">
        <f t="shared" si="18"/>
        <v>#NUM!</v>
      </c>
      <c r="D70" s="96">
        <f t="shared" si="16"/>
        <v>61.669684653289181</v>
      </c>
      <c r="E70" s="96">
        <f t="shared" si="16"/>
        <v>118.71792743830338</v>
      </c>
      <c r="F70" s="96">
        <f t="shared" si="16"/>
        <v>175.77005624550105</v>
      </c>
      <c r="G70" s="96">
        <f t="shared" si="16"/>
        <v>233.21885259989111</v>
      </c>
      <c r="H70" s="96">
        <f t="shared" si="16"/>
        <v>254.96320327425346</v>
      </c>
      <c r="I70" s="96">
        <f t="shared" si="16"/>
        <v>266.40082569685882</v>
      </c>
      <c r="J70" s="96">
        <f t="shared" si="16"/>
        <v>275.44194668629063</v>
      </c>
      <c r="K70" s="96">
        <f t="shared" si="16"/>
        <v>285.87500011007023</v>
      </c>
      <c r="L70" s="96" t="e">
        <f t="shared" si="16"/>
        <v>#DIV/0!</v>
      </c>
      <c r="M70" s="96">
        <f t="shared" si="16"/>
        <v>290.89784510419901</v>
      </c>
      <c r="N70" s="96">
        <f t="shared" si="16"/>
        <v>285.93815395906688</v>
      </c>
      <c r="O70" s="96">
        <f t="shared" si="16"/>
        <v>283.57404616120147</v>
      </c>
      <c r="P70" s="96">
        <f t="shared" si="16"/>
        <v>282.18211372685369</v>
      </c>
      <c r="Q70" s="96">
        <f t="shared" si="16"/>
        <v>281.27588818548406</v>
      </c>
      <c r="R70" s="96">
        <f t="shared" si="16"/>
        <v>280.64971821303845</v>
      </c>
      <c r="S70" s="96">
        <f t="shared" si="16"/>
        <v>280.19992533710928</v>
      </c>
      <c r="T70" s="96">
        <f t="shared" si="17"/>
        <v>279.86814863583987</v>
      </c>
      <c r="U70" s="96">
        <f t="shared" si="17"/>
        <v>279.61892401489501</v>
      </c>
      <c r="V70" s="96">
        <f t="shared" si="17"/>
        <v>279.42944499387585</v>
      </c>
      <c r="W70" s="96">
        <f t="shared" si="17"/>
        <v>279.28438782714244</v>
      </c>
      <c r="X70" s="96">
        <f t="shared" si="17"/>
        <v>279.17308934951359</v>
      </c>
      <c r="Y70" s="96">
        <f t="shared" si="17"/>
        <v>279.08791349264038</v>
      </c>
      <c r="Z70" s="96">
        <f t="shared" si="17"/>
        <v>279.0232593131862</v>
      </c>
      <c r="AA70" s="96">
        <f t="shared" si="17"/>
        <v>278.9749342366153</v>
      </c>
    </row>
    <row r="71" spans="1:27" x14ac:dyDescent="0.35">
      <c r="B71">
        <v>0.6</v>
      </c>
      <c r="C71" s="96" t="e">
        <f t="shared" si="18"/>
        <v>#NUM!</v>
      </c>
      <c r="D71" s="96">
        <f t="shared" si="16"/>
        <v>61.217969869180081</v>
      </c>
      <c r="E71" s="96">
        <f t="shared" si="16"/>
        <v>118.26621265419425</v>
      </c>
      <c r="F71" s="96">
        <f t="shared" si="16"/>
        <v>175.31834146139192</v>
      </c>
      <c r="G71" s="96">
        <f t="shared" si="16"/>
        <v>232.76713781578201</v>
      </c>
      <c r="H71" s="96">
        <f t="shared" si="16"/>
        <v>254.51148849014433</v>
      </c>
      <c r="I71" s="96">
        <f t="shared" si="16"/>
        <v>265.94911091274969</v>
      </c>
      <c r="J71" s="96">
        <f t="shared" si="16"/>
        <v>274.99023190218151</v>
      </c>
      <c r="K71" s="96">
        <f t="shared" si="16"/>
        <v>285.4232853259611</v>
      </c>
      <c r="L71" s="96" t="e">
        <f t="shared" si="16"/>
        <v>#DIV/0!</v>
      </c>
      <c r="M71" s="96">
        <f t="shared" si="16"/>
        <v>290.44613032008994</v>
      </c>
      <c r="N71" s="96">
        <f t="shared" si="16"/>
        <v>285.48643917495775</v>
      </c>
      <c r="O71" s="96">
        <f t="shared" si="16"/>
        <v>283.12233137709234</v>
      </c>
      <c r="P71" s="96">
        <f t="shared" si="16"/>
        <v>281.73039894274461</v>
      </c>
      <c r="Q71" s="96">
        <f t="shared" si="16"/>
        <v>280.82417340137499</v>
      </c>
      <c r="R71" s="96">
        <f t="shared" si="16"/>
        <v>280.19800342892933</v>
      </c>
      <c r="S71" s="96">
        <f t="shared" si="16"/>
        <v>279.74821055300015</v>
      </c>
      <c r="T71" s="96">
        <f t="shared" si="17"/>
        <v>279.41643385173074</v>
      </c>
      <c r="U71" s="96">
        <f t="shared" si="17"/>
        <v>279.16720923078594</v>
      </c>
      <c r="V71" s="96">
        <f t="shared" si="17"/>
        <v>278.97773020976672</v>
      </c>
      <c r="W71" s="96">
        <f t="shared" si="17"/>
        <v>278.83267304303337</v>
      </c>
      <c r="X71" s="96">
        <f t="shared" si="17"/>
        <v>278.72137456540446</v>
      </c>
      <c r="Y71" s="96">
        <f t="shared" si="17"/>
        <v>278.63619870853125</v>
      </c>
      <c r="Z71" s="96">
        <f t="shared" si="17"/>
        <v>278.57154452907707</v>
      </c>
      <c r="AA71" s="96">
        <f t="shared" si="17"/>
        <v>278.52321945250617</v>
      </c>
    </row>
    <row r="72" spans="1:27" x14ac:dyDescent="0.35">
      <c r="B72">
        <v>0.7</v>
      </c>
      <c r="C72" s="96" t="e">
        <f t="shared" si="18"/>
        <v>#NUM!</v>
      </c>
      <c r="D72" s="96">
        <f t="shared" si="16"/>
        <v>60.836050461059102</v>
      </c>
      <c r="E72" s="96">
        <f t="shared" si="16"/>
        <v>117.88429324607327</v>
      </c>
      <c r="F72" s="96">
        <f t="shared" si="16"/>
        <v>174.93642205327097</v>
      </c>
      <c r="G72" s="96">
        <f t="shared" si="16"/>
        <v>232.38521840766103</v>
      </c>
      <c r="H72" s="96">
        <f t="shared" si="16"/>
        <v>254.12956908202335</v>
      </c>
      <c r="I72" s="96">
        <f t="shared" si="16"/>
        <v>265.56719150462868</v>
      </c>
      <c r="J72" s="96">
        <f t="shared" si="16"/>
        <v>274.60831249406056</v>
      </c>
      <c r="K72" s="96">
        <f t="shared" si="16"/>
        <v>285.04136591784015</v>
      </c>
      <c r="L72" s="96" t="e">
        <f t="shared" si="16"/>
        <v>#DIV/0!</v>
      </c>
      <c r="M72" s="96">
        <f t="shared" si="16"/>
        <v>290.06421091196893</v>
      </c>
      <c r="N72" s="96">
        <f t="shared" si="16"/>
        <v>285.1045197668368</v>
      </c>
      <c r="O72" s="96">
        <f t="shared" si="16"/>
        <v>282.74041196897133</v>
      </c>
      <c r="P72" s="96">
        <f t="shared" si="16"/>
        <v>281.34847953462361</v>
      </c>
      <c r="Q72" s="96">
        <f t="shared" si="16"/>
        <v>280.44225399325398</v>
      </c>
      <c r="R72" s="96">
        <f t="shared" si="16"/>
        <v>279.81608402080832</v>
      </c>
      <c r="S72" s="96">
        <f t="shared" si="16"/>
        <v>279.3662911448792</v>
      </c>
      <c r="T72" s="96">
        <f t="shared" si="17"/>
        <v>279.03451444360979</v>
      </c>
      <c r="U72" s="96">
        <f t="shared" si="17"/>
        <v>278.78528982266494</v>
      </c>
      <c r="V72" s="96">
        <f t="shared" si="17"/>
        <v>278.59581080164571</v>
      </c>
      <c r="W72" s="96">
        <f t="shared" si="17"/>
        <v>278.45075363491236</v>
      </c>
      <c r="X72" s="96">
        <f t="shared" si="17"/>
        <v>278.33945515728351</v>
      </c>
      <c r="Y72" s="96">
        <f t="shared" si="17"/>
        <v>278.2542793004103</v>
      </c>
      <c r="Z72" s="96">
        <f t="shared" si="17"/>
        <v>278.18962512095612</v>
      </c>
      <c r="AA72" s="96">
        <f t="shared" si="17"/>
        <v>278.14130004438522</v>
      </c>
    </row>
    <row r="73" spans="1:27" x14ac:dyDescent="0.35">
      <c r="B73">
        <v>0.8</v>
      </c>
      <c r="C73" s="96" t="e">
        <f t="shared" si="18"/>
        <v>#NUM!</v>
      </c>
      <c r="D73" s="96">
        <f t="shared" si="16"/>
        <v>60.505216821571565</v>
      </c>
      <c r="E73" s="96">
        <f t="shared" si="16"/>
        <v>117.55345960658576</v>
      </c>
      <c r="F73" s="96">
        <f t="shared" si="16"/>
        <v>174.60558841378344</v>
      </c>
      <c r="G73" s="96">
        <f t="shared" si="16"/>
        <v>232.05438476817349</v>
      </c>
      <c r="H73" s="96">
        <f t="shared" si="16"/>
        <v>253.79873544253584</v>
      </c>
      <c r="I73" s="96">
        <f t="shared" si="16"/>
        <v>265.2363578651412</v>
      </c>
      <c r="J73" s="96">
        <f t="shared" si="16"/>
        <v>274.27747885457302</v>
      </c>
      <c r="K73" s="96">
        <f t="shared" si="16"/>
        <v>284.71053227835262</v>
      </c>
      <c r="L73" s="96" t="e">
        <f t="shared" si="16"/>
        <v>#DIV/0!</v>
      </c>
      <c r="M73" s="96">
        <f t="shared" si="16"/>
        <v>289.73337727248139</v>
      </c>
      <c r="N73" s="96">
        <f t="shared" si="16"/>
        <v>284.77368612734927</v>
      </c>
      <c r="O73" s="96">
        <f t="shared" si="16"/>
        <v>282.40957832948385</v>
      </c>
      <c r="P73" s="96">
        <f t="shared" si="16"/>
        <v>281.01764589513607</v>
      </c>
      <c r="Q73" s="96">
        <f t="shared" si="16"/>
        <v>280.11142035376645</v>
      </c>
      <c r="R73" s="96">
        <f t="shared" si="16"/>
        <v>279.48525038132084</v>
      </c>
      <c r="S73" s="96">
        <f t="shared" si="16"/>
        <v>279.03545750539166</v>
      </c>
      <c r="T73" s="96">
        <f t="shared" si="17"/>
        <v>278.70368080412226</v>
      </c>
      <c r="U73" s="96">
        <f t="shared" si="17"/>
        <v>278.4544561831774</v>
      </c>
      <c r="V73" s="96">
        <f t="shared" si="17"/>
        <v>278.26497716215823</v>
      </c>
      <c r="W73" s="96">
        <f t="shared" si="17"/>
        <v>278.11991999542482</v>
      </c>
      <c r="X73" s="96">
        <f t="shared" si="17"/>
        <v>278.00862151779597</v>
      </c>
      <c r="Y73" s="96">
        <f t="shared" si="17"/>
        <v>277.92344566092277</v>
      </c>
      <c r="Z73" s="96">
        <f t="shared" si="17"/>
        <v>277.85879148146859</v>
      </c>
      <c r="AA73" s="96">
        <f t="shared" si="17"/>
        <v>277.81046640489768</v>
      </c>
    </row>
    <row r="74" spans="1:27" x14ac:dyDescent="0.35">
      <c r="B74">
        <v>0.9</v>
      </c>
      <c r="C74" s="96" t="e">
        <f t="shared" si="18"/>
        <v>#NUM!</v>
      </c>
      <c r="D74" s="96">
        <f t="shared" si="16"/>
        <v>60.21340087035432</v>
      </c>
      <c r="E74" s="96">
        <f t="shared" si="16"/>
        <v>117.26164365536852</v>
      </c>
      <c r="F74" s="96">
        <f t="shared" si="16"/>
        <v>174.31377246256619</v>
      </c>
      <c r="G74" s="96">
        <f t="shared" si="16"/>
        <v>231.76256881695625</v>
      </c>
      <c r="H74" s="96">
        <f t="shared" si="16"/>
        <v>253.50691949131857</v>
      </c>
      <c r="I74" s="96">
        <f t="shared" si="16"/>
        <v>264.9445419139239</v>
      </c>
      <c r="J74" s="96">
        <f t="shared" si="16"/>
        <v>273.98566290335577</v>
      </c>
      <c r="K74" s="96">
        <f t="shared" si="16"/>
        <v>284.41871632713537</v>
      </c>
      <c r="L74" s="96" t="e">
        <f t="shared" si="16"/>
        <v>#DIV/0!</v>
      </c>
      <c r="M74" s="96">
        <f t="shared" si="16"/>
        <v>289.44156132126415</v>
      </c>
      <c r="N74" s="96">
        <f t="shared" si="16"/>
        <v>284.48187017613202</v>
      </c>
      <c r="O74" s="96">
        <f t="shared" si="16"/>
        <v>282.11776237826655</v>
      </c>
      <c r="P74" s="96">
        <f t="shared" si="16"/>
        <v>280.72582994391882</v>
      </c>
      <c r="Q74" s="96">
        <f t="shared" si="16"/>
        <v>279.8196044025492</v>
      </c>
      <c r="R74" s="96">
        <f t="shared" si="16"/>
        <v>279.19343443010354</v>
      </c>
      <c r="S74" s="96">
        <f t="shared" si="16"/>
        <v>278.74364155417442</v>
      </c>
      <c r="T74" s="96">
        <f t="shared" si="17"/>
        <v>278.41186485290501</v>
      </c>
      <c r="U74" s="96">
        <f t="shared" si="17"/>
        <v>278.16264023196015</v>
      </c>
      <c r="V74" s="96">
        <f t="shared" si="17"/>
        <v>277.97316121094093</v>
      </c>
      <c r="W74" s="96">
        <f t="shared" si="17"/>
        <v>277.82810404420758</v>
      </c>
      <c r="X74" s="96">
        <f t="shared" si="17"/>
        <v>277.71680556657873</v>
      </c>
      <c r="Y74" s="96">
        <f t="shared" si="17"/>
        <v>277.63162970970552</v>
      </c>
      <c r="Z74" s="96">
        <f t="shared" si="17"/>
        <v>277.56697553025134</v>
      </c>
      <c r="AA74" s="96">
        <f t="shared" si="17"/>
        <v>277.51865045368044</v>
      </c>
    </row>
    <row r="75" spans="1:27" x14ac:dyDescent="0.35">
      <c r="B75">
        <v>1</v>
      </c>
      <c r="C75" s="96" t="e">
        <f t="shared" si="18"/>
        <v>#NUM!</v>
      </c>
      <c r="D75" s="96">
        <f t="shared" si="16"/>
        <v>59.952362606854905</v>
      </c>
      <c r="E75" s="96">
        <f t="shared" si="16"/>
        <v>117.0006053918691</v>
      </c>
      <c r="F75" s="96">
        <f t="shared" si="16"/>
        <v>174.05273419906678</v>
      </c>
      <c r="G75" s="96">
        <f t="shared" si="16"/>
        <v>231.50153055345686</v>
      </c>
      <c r="H75" s="96">
        <f t="shared" si="16"/>
        <v>253.24588122781918</v>
      </c>
      <c r="I75" s="96">
        <f t="shared" si="16"/>
        <v>264.68350365042454</v>
      </c>
      <c r="J75" s="96">
        <f t="shared" si="16"/>
        <v>273.72462463985636</v>
      </c>
      <c r="K75" s="96">
        <f t="shared" si="16"/>
        <v>284.15767806363596</v>
      </c>
      <c r="L75" s="96" t="e">
        <f t="shared" si="16"/>
        <v>#DIV/0!</v>
      </c>
      <c r="M75" s="96">
        <f t="shared" si="16"/>
        <v>289.18052305776479</v>
      </c>
      <c r="N75" s="96">
        <f t="shared" si="16"/>
        <v>284.2208319126326</v>
      </c>
      <c r="O75" s="96">
        <f t="shared" si="16"/>
        <v>281.85672411476719</v>
      </c>
      <c r="P75" s="96">
        <f t="shared" si="16"/>
        <v>280.46479168041947</v>
      </c>
      <c r="Q75" s="96">
        <f t="shared" si="16"/>
        <v>279.55856613904979</v>
      </c>
      <c r="R75" s="96">
        <f t="shared" si="16"/>
        <v>278.93239616660418</v>
      </c>
      <c r="S75" s="96">
        <f t="shared" si="16"/>
        <v>278.482603290675</v>
      </c>
      <c r="T75" s="96">
        <f t="shared" si="17"/>
        <v>278.1508265894056</v>
      </c>
      <c r="U75" s="96">
        <f t="shared" si="17"/>
        <v>277.9016019684608</v>
      </c>
      <c r="V75" s="96">
        <f t="shared" si="17"/>
        <v>277.71212294744157</v>
      </c>
      <c r="W75" s="96">
        <f t="shared" si="17"/>
        <v>277.56706578070816</v>
      </c>
      <c r="X75" s="96">
        <f t="shared" si="17"/>
        <v>277.45576730307931</v>
      </c>
      <c r="Y75" s="96">
        <f t="shared" si="17"/>
        <v>277.37059144620611</v>
      </c>
      <c r="Z75" s="96">
        <f t="shared" si="17"/>
        <v>277.30593726675193</v>
      </c>
      <c r="AA75" s="96">
        <f t="shared" si="17"/>
        <v>277.25761219018102</v>
      </c>
    </row>
    <row r="77" spans="1:27" x14ac:dyDescent="0.35">
      <c r="A77" t="s">
        <v>593</v>
      </c>
      <c r="B77" t="s">
        <v>594</v>
      </c>
      <c r="D77" s="98" t="s">
        <v>590</v>
      </c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</row>
    <row r="78" spans="1:27" x14ac:dyDescent="0.35">
      <c r="A78">
        <v>5</v>
      </c>
      <c r="B78" t="s">
        <v>591</v>
      </c>
      <c r="C78">
        <v>0</v>
      </c>
      <c r="D78">
        <v>1E-8</v>
      </c>
      <c r="E78">
        <v>9.9999999999999995E-7</v>
      </c>
      <c r="F78">
        <v>1E-4</v>
      </c>
      <c r="G78">
        <v>0.01</v>
      </c>
      <c r="H78">
        <v>0.05</v>
      </c>
      <c r="I78">
        <v>0.1</v>
      </c>
      <c r="J78">
        <v>0.15</v>
      </c>
      <c r="K78">
        <v>0.2</v>
      </c>
      <c r="L78">
        <v>0.25</v>
      </c>
      <c r="M78">
        <v>0.3</v>
      </c>
      <c r="N78">
        <v>0.35</v>
      </c>
      <c r="O78">
        <v>0.4</v>
      </c>
      <c r="P78">
        <v>0.45</v>
      </c>
      <c r="Q78">
        <v>0.5</v>
      </c>
      <c r="R78">
        <v>0.55000000000000004</v>
      </c>
      <c r="S78">
        <v>0.6</v>
      </c>
      <c r="T78">
        <v>0.65</v>
      </c>
      <c r="U78">
        <v>0.7</v>
      </c>
      <c r="V78">
        <v>0.75</v>
      </c>
      <c r="W78">
        <v>0.8</v>
      </c>
      <c r="X78">
        <v>0.85</v>
      </c>
      <c r="Y78">
        <v>0.9</v>
      </c>
      <c r="Z78">
        <v>0.95</v>
      </c>
      <c r="AA78">
        <v>1</v>
      </c>
    </row>
    <row r="79" spans="1:27" x14ac:dyDescent="0.35">
      <c r="A79">
        <v>274.40659999974702</v>
      </c>
      <c r="B79">
        <v>0</v>
      </c>
      <c r="C79" s="96" t="e">
        <f>274.406599999747+0.008314*298*LN((C$78*($A$78*C$78)^($A$78))/($B79*(1-$A$78*C$78)^($A$78)))</f>
        <v>#DIV/0!</v>
      </c>
      <c r="D79" s="96" t="e">
        <f t="shared" ref="D79:T90" si="19">274.406599999747+0.008314*298*LN((D$78*($A$78*D$78)^($A$78))/($B79*(1-$A$78*D$78)^($A$78)))</f>
        <v>#DIV/0!</v>
      </c>
      <c r="E79" s="96" t="e">
        <f t="shared" si="19"/>
        <v>#DIV/0!</v>
      </c>
      <c r="F79" s="96" t="e">
        <f t="shared" si="19"/>
        <v>#DIV/0!</v>
      </c>
      <c r="G79" s="96" t="e">
        <f t="shared" si="19"/>
        <v>#DIV/0!</v>
      </c>
      <c r="H79" s="96" t="e">
        <f t="shared" si="19"/>
        <v>#DIV/0!</v>
      </c>
      <c r="I79" s="96" t="e">
        <f t="shared" si="19"/>
        <v>#DIV/0!</v>
      </c>
      <c r="J79" s="96" t="e">
        <f t="shared" si="19"/>
        <v>#DIV/0!</v>
      </c>
      <c r="K79" s="96" t="e">
        <f t="shared" si="19"/>
        <v>#DIV/0!</v>
      </c>
      <c r="L79" s="96" t="e">
        <f t="shared" si="19"/>
        <v>#DIV/0!</v>
      </c>
      <c r="M79" s="96" t="e">
        <f t="shared" si="19"/>
        <v>#DIV/0!</v>
      </c>
      <c r="N79" s="96" t="e">
        <f t="shared" si="19"/>
        <v>#DIV/0!</v>
      </c>
      <c r="O79" s="96" t="e">
        <f t="shared" si="19"/>
        <v>#DIV/0!</v>
      </c>
      <c r="P79" s="96" t="e">
        <f t="shared" si="19"/>
        <v>#DIV/0!</v>
      </c>
      <c r="Q79" s="96" t="e">
        <f t="shared" si="19"/>
        <v>#DIV/0!</v>
      </c>
      <c r="R79" s="96" t="e">
        <f t="shared" si="19"/>
        <v>#DIV/0!</v>
      </c>
      <c r="S79" s="96" t="e">
        <f t="shared" si="19"/>
        <v>#DIV/0!</v>
      </c>
      <c r="T79" s="96" t="e">
        <f t="shared" si="19"/>
        <v>#DIV/0!</v>
      </c>
      <c r="U79" s="96" t="e">
        <f t="shared" ref="T79:AA90" si="20">274.406599999747+0.008314*298*LN((U$78*($A$78*U$78)^($A$78))/($B79*(1-$A$78*U$78)^($A$78)))</f>
        <v>#DIV/0!</v>
      </c>
      <c r="V79" s="96" t="e">
        <f t="shared" si="20"/>
        <v>#DIV/0!</v>
      </c>
      <c r="W79" s="96" t="e">
        <f t="shared" si="20"/>
        <v>#DIV/0!</v>
      </c>
      <c r="X79" s="96" t="e">
        <f t="shared" si="20"/>
        <v>#DIV/0!</v>
      </c>
      <c r="Y79" s="96" t="e">
        <f t="shared" si="20"/>
        <v>#DIV/0!</v>
      </c>
      <c r="Z79" s="96" t="e">
        <f t="shared" si="20"/>
        <v>#DIV/0!</v>
      </c>
      <c r="AA79" s="96" t="e">
        <f t="shared" si="20"/>
        <v>#DIV/0!</v>
      </c>
    </row>
    <row r="80" spans="1:27" x14ac:dyDescent="0.35">
      <c r="B80">
        <v>1.0000000000000001E-5</v>
      </c>
      <c r="C80" s="96"/>
      <c r="D80" s="96">
        <f t="shared" si="19"/>
        <v>49.036816934229876</v>
      </c>
      <c r="E80" s="96">
        <f t="shared" si="19"/>
        <v>117.49472250252501</v>
      </c>
      <c r="F80" s="96">
        <f t="shared" si="19"/>
        <v>185.95870029030232</v>
      </c>
      <c r="G80" s="96">
        <f t="shared" si="19"/>
        <v>255.04576320934856</v>
      </c>
      <c r="H80" s="96">
        <f t="shared" si="19"/>
        <v>281.89910414309037</v>
      </c>
      <c r="I80" s="96">
        <f t="shared" si="19"/>
        <v>297.2258814158248</v>
      </c>
      <c r="J80" s="96">
        <f t="shared" si="19"/>
        <v>311.83990564095069</v>
      </c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 spans="1:27" x14ac:dyDescent="0.35">
      <c r="B81">
        <v>0.1</v>
      </c>
      <c r="C81" s="96" t="e">
        <f t="shared" ref="C81:C90" si="21">274.406599999747+0.008314*298*LN((C$78*($A$78*C$78)^($A$78))/($B81*(1-$A$78*C$78)^($A$78)))</f>
        <v>#NUM!</v>
      </c>
      <c r="D81" s="96">
        <f t="shared" si="19"/>
        <v>26.21753551815209</v>
      </c>
      <c r="E81" s="96">
        <f t="shared" si="19"/>
        <v>94.67544108644725</v>
      </c>
      <c r="F81" s="96">
        <f t="shared" si="19"/>
        <v>163.13941887422456</v>
      </c>
      <c r="G81" s="96">
        <f t="shared" si="19"/>
        <v>232.22648179327081</v>
      </c>
      <c r="H81" s="96">
        <f t="shared" si="19"/>
        <v>259.07982272701264</v>
      </c>
      <c r="I81" s="96">
        <f t="shared" si="19"/>
        <v>274.40659999974702</v>
      </c>
      <c r="J81" s="96">
        <f t="shared" si="19"/>
        <v>289.0206242248729</v>
      </c>
      <c r="K81" s="96" t="e">
        <f t="shared" si="19"/>
        <v>#DIV/0!</v>
      </c>
      <c r="L81" s="96" t="e">
        <f t="shared" si="19"/>
        <v>#NUM!</v>
      </c>
      <c r="M81" s="96" t="e">
        <f t="shared" si="19"/>
        <v>#NUM!</v>
      </c>
      <c r="N81" s="96" t="e">
        <f t="shared" si="19"/>
        <v>#NUM!</v>
      </c>
      <c r="O81" s="96" t="e">
        <f t="shared" si="19"/>
        <v>#NUM!</v>
      </c>
      <c r="P81" s="96" t="e">
        <f t="shared" si="19"/>
        <v>#NUM!</v>
      </c>
      <c r="Q81" s="96" t="e">
        <f t="shared" si="19"/>
        <v>#NUM!</v>
      </c>
      <c r="R81" s="96" t="e">
        <f t="shared" si="19"/>
        <v>#NUM!</v>
      </c>
      <c r="S81" s="96" t="e">
        <f t="shared" si="19"/>
        <v>#NUM!</v>
      </c>
      <c r="T81" s="96" t="e">
        <f t="shared" si="20"/>
        <v>#NUM!</v>
      </c>
      <c r="U81" s="96" t="e">
        <f t="shared" si="20"/>
        <v>#NUM!</v>
      </c>
      <c r="V81" s="96" t="e">
        <f t="shared" si="20"/>
        <v>#NUM!</v>
      </c>
      <c r="W81" s="96" t="e">
        <f t="shared" si="20"/>
        <v>#NUM!</v>
      </c>
      <c r="X81" s="96" t="e">
        <f t="shared" si="20"/>
        <v>#NUM!</v>
      </c>
      <c r="Y81" s="96" t="e">
        <f t="shared" si="20"/>
        <v>#NUM!</v>
      </c>
      <c r="Z81" s="96" t="e">
        <f t="shared" si="20"/>
        <v>#NUM!</v>
      </c>
      <c r="AA81" s="96" t="e">
        <f t="shared" si="20"/>
        <v>#NUM!</v>
      </c>
    </row>
    <row r="82" spans="1:27" x14ac:dyDescent="0.35">
      <c r="B82">
        <v>0.2</v>
      </c>
      <c r="C82" s="96" t="e">
        <f t="shared" si="21"/>
        <v>#NUM!</v>
      </c>
      <c r="D82" s="96">
        <f t="shared" si="19"/>
        <v>24.500213471717814</v>
      </c>
      <c r="E82" s="96">
        <f t="shared" si="19"/>
        <v>92.958119040012974</v>
      </c>
      <c r="F82" s="96">
        <f t="shared" si="19"/>
        <v>161.42209682779031</v>
      </c>
      <c r="G82" s="96">
        <f t="shared" si="19"/>
        <v>230.50915974683653</v>
      </c>
      <c r="H82" s="96">
        <f t="shared" si="19"/>
        <v>257.36250068057836</v>
      </c>
      <c r="I82" s="96">
        <f t="shared" si="19"/>
        <v>272.68927795331274</v>
      </c>
      <c r="J82" s="96">
        <f t="shared" si="19"/>
        <v>287.30330217843863</v>
      </c>
      <c r="K82" s="96" t="e">
        <f t="shared" si="19"/>
        <v>#DIV/0!</v>
      </c>
      <c r="L82" s="96" t="e">
        <f t="shared" si="19"/>
        <v>#NUM!</v>
      </c>
      <c r="M82" s="96" t="e">
        <f t="shared" si="19"/>
        <v>#NUM!</v>
      </c>
      <c r="N82" s="96" t="e">
        <f t="shared" si="19"/>
        <v>#NUM!</v>
      </c>
      <c r="O82" s="96" t="e">
        <f t="shared" si="19"/>
        <v>#NUM!</v>
      </c>
      <c r="P82" s="96" t="e">
        <f t="shared" si="19"/>
        <v>#NUM!</v>
      </c>
      <c r="Q82" s="96" t="e">
        <f t="shared" si="19"/>
        <v>#NUM!</v>
      </c>
      <c r="R82" s="96" t="e">
        <f t="shared" si="19"/>
        <v>#NUM!</v>
      </c>
      <c r="S82" s="96" t="e">
        <f t="shared" si="19"/>
        <v>#NUM!</v>
      </c>
      <c r="T82" s="96" t="e">
        <f t="shared" si="20"/>
        <v>#NUM!</v>
      </c>
      <c r="U82" s="96" t="e">
        <f t="shared" si="20"/>
        <v>#NUM!</v>
      </c>
      <c r="V82" s="96" t="e">
        <f t="shared" si="20"/>
        <v>#NUM!</v>
      </c>
      <c r="W82" s="96" t="e">
        <f t="shared" si="20"/>
        <v>#NUM!</v>
      </c>
      <c r="X82" s="96" t="e">
        <f t="shared" si="20"/>
        <v>#NUM!</v>
      </c>
      <c r="Y82" s="96" t="e">
        <f t="shared" si="20"/>
        <v>#NUM!</v>
      </c>
      <c r="Z82" s="96" t="e">
        <f t="shared" si="20"/>
        <v>#NUM!</v>
      </c>
      <c r="AA82" s="96" t="e">
        <f t="shared" si="20"/>
        <v>#NUM!</v>
      </c>
    </row>
    <row r="83" spans="1:27" x14ac:dyDescent="0.35">
      <c r="B83">
        <v>0.3</v>
      </c>
      <c r="C83" s="96" t="e">
        <f t="shared" si="21"/>
        <v>#NUM!</v>
      </c>
      <c r="D83" s="96">
        <f t="shared" si="19"/>
        <v>23.495644472892053</v>
      </c>
      <c r="E83" s="96">
        <f t="shared" si="19"/>
        <v>91.953550041187214</v>
      </c>
      <c r="F83" s="96">
        <f t="shared" si="19"/>
        <v>160.41752782896452</v>
      </c>
      <c r="G83" s="96">
        <f t="shared" si="19"/>
        <v>229.50459074801077</v>
      </c>
      <c r="H83" s="96">
        <f t="shared" si="19"/>
        <v>256.35793168175258</v>
      </c>
      <c r="I83" s="96">
        <f t="shared" si="19"/>
        <v>271.68470895448701</v>
      </c>
      <c r="J83" s="96">
        <f t="shared" si="19"/>
        <v>286.2987331796129</v>
      </c>
      <c r="K83" s="96" t="e">
        <f t="shared" si="19"/>
        <v>#DIV/0!</v>
      </c>
      <c r="L83" s="96" t="e">
        <f t="shared" si="19"/>
        <v>#NUM!</v>
      </c>
      <c r="M83" s="96" t="e">
        <f t="shared" si="19"/>
        <v>#NUM!</v>
      </c>
      <c r="N83" s="96" t="e">
        <f t="shared" si="19"/>
        <v>#NUM!</v>
      </c>
      <c r="O83" s="96" t="e">
        <f t="shared" si="19"/>
        <v>#NUM!</v>
      </c>
      <c r="P83" s="96" t="e">
        <f t="shared" si="19"/>
        <v>#NUM!</v>
      </c>
      <c r="Q83" s="96" t="e">
        <f t="shared" si="19"/>
        <v>#NUM!</v>
      </c>
      <c r="R83" s="96" t="e">
        <f t="shared" si="19"/>
        <v>#NUM!</v>
      </c>
      <c r="S83" s="96" t="e">
        <f t="shared" si="19"/>
        <v>#NUM!</v>
      </c>
      <c r="T83" s="96" t="e">
        <f t="shared" si="20"/>
        <v>#NUM!</v>
      </c>
      <c r="U83" s="96" t="e">
        <f t="shared" si="20"/>
        <v>#NUM!</v>
      </c>
      <c r="V83" s="96" t="e">
        <f t="shared" si="20"/>
        <v>#NUM!</v>
      </c>
      <c r="W83" s="96" t="e">
        <f t="shared" si="20"/>
        <v>#NUM!</v>
      </c>
      <c r="X83" s="96" t="e">
        <f t="shared" si="20"/>
        <v>#NUM!</v>
      </c>
      <c r="Y83" s="96" t="e">
        <f t="shared" si="20"/>
        <v>#NUM!</v>
      </c>
      <c r="Z83" s="96" t="e">
        <f t="shared" si="20"/>
        <v>#NUM!</v>
      </c>
      <c r="AA83" s="96" t="e">
        <f t="shared" si="20"/>
        <v>#NUM!</v>
      </c>
    </row>
    <row r="84" spans="1:27" x14ac:dyDescent="0.35">
      <c r="B84">
        <v>0.4</v>
      </c>
      <c r="C84" s="96" t="e">
        <f t="shared" si="21"/>
        <v>#NUM!</v>
      </c>
      <c r="D84" s="96">
        <f t="shared" si="19"/>
        <v>22.782891425283538</v>
      </c>
      <c r="E84" s="96">
        <f t="shared" si="19"/>
        <v>91.240796993578698</v>
      </c>
      <c r="F84" s="96">
        <f t="shared" si="19"/>
        <v>159.70477478135604</v>
      </c>
      <c r="G84" s="96">
        <f t="shared" si="19"/>
        <v>228.79183770040225</v>
      </c>
      <c r="H84" s="96">
        <f t="shared" si="19"/>
        <v>255.64517863414409</v>
      </c>
      <c r="I84" s="96">
        <f t="shared" si="19"/>
        <v>270.97195590687846</v>
      </c>
      <c r="J84" s="96">
        <f t="shared" si="19"/>
        <v>285.58598013200435</v>
      </c>
      <c r="K84" s="96" t="e">
        <f t="shared" si="19"/>
        <v>#DIV/0!</v>
      </c>
      <c r="L84" s="96" t="e">
        <f t="shared" si="19"/>
        <v>#NUM!</v>
      </c>
      <c r="M84" s="96" t="e">
        <f t="shared" si="19"/>
        <v>#NUM!</v>
      </c>
      <c r="N84" s="96" t="e">
        <f t="shared" si="19"/>
        <v>#NUM!</v>
      </c>
      <c r="O84" s="96" t="e">
        <f t="shared" si="19"/>
        <v>#NUM!</v>
      </c>
      <c r="P84" s="96" t="e">
        <f t="shared" si="19"/>
        <v>#NUM!</v>
      </c>
      <c r="Q84" s="96" t="e">
        <f t="shared" si="19"/>
        <v>#NUM!</v>
      </c>
      <c r="R84" s="96" t="e">
        <f t="shared" si="19"/>
        <v>#NUM!</v>
      </c>
      <c r="S84" s="96" t="e">
        <f t="shared" si="19"/>
        <v>#NUM!</v>
      </c>
      <c r="T84" s="96" t="e">
        <f t="shared" si="20"/>
        <v>#NUM!</v>
      </c>
      <c r="U84" s="96" t="e">
        <f t="shared" si="20"/>
        <v>#NUM!</v>
      </c>
      <c r="V84" s="96" t="e">
        <f t="shared" si="20"/>
        <v>#NUM!</v>
      </c>
      <c r="W84" s="96" t="e">
        <f t="shared" si="20"/>
        <v>#NUM!</v>
      </c>
      <c r="X84" s="96" t="e">
        <f t="shared" si="20"/>
        <v>#NUM!</v>
      </c>
      <c r="Y84" s="96" t="e">
        <f t="shared" si="20"/>
        <v>#NUM!</v>
      </c>
      <c r="Z84" s="96" t="e">
        <f t="shared" si="20"/>
        <v>#NUM!</v>
      </c>
      <c r="AA84" s="96" t="e">
        <f t="shared" si="20"/>
        <v>#NUM!</v>
      </c>
    </row>
    <row r="85" spans="1:27" x14ac:dyDescent="0.35">
      <c r="B85">
        <v>0.5</v>
      </c>
      <c r="C85" s="96" t="e">
        <f t="shared" si="21"/>
        <v>#NUM!</v>
      </c>
      <c r="D85" s="96">
        <f t="shared" si="19"/>
        <v>22.230037210566906</v>
      </c>
      <c r="E85" s="96">
        <f t="shared" si="19"/>
        <v>90.687942778862038</v>
      </c>
      <c r="F85" s="96">
        <f t="shared" si="19"/>
        <v>159.15192056663938</v>
      </c>
      <c r="G85" s="96">
        <f t="shared" si="19"/>
        <v>228.23898348568562</v>
      </c>
      <c r="H85" s="96">
        <f t="shared" si="19"/>
        <v>255.09232441942746</v>
      </c>
      <c r="I85" s="96">
        <f t="shared" si="19"/>
        <v>270.41910169216186</v>
      </c>
      <c r="J85" s="96">
        <f t="shared" si="19"/>
        <v>285.03312591728775</v>
      </c>
      <c r="K85" s="96" t="e">
        <f t="shared" si="19"/>
        <v>#DIV/0!</v>
      </c>
      <c r="L85" s="96" t="e">
        <f t="shared" si="19"/>
        <v>#NUM!</v>
      </c>
      <c r="M85" s="96" t="e">
        <f t="shared" si="19"/>
        <v>#NUM!</v>
      </c>
      <c r="N85" s="96" t="e">
        <f t="shared" si="19"/>
        <v>#NUM!</v>
      </c>
      <c r="O85" s="96" t="e">
        <f t="shared" si="19"/>
        <v>#NUM!</v>
      </c>
      <c r="P85" s="96" t="e">
        <f t="shared" si="19"/>
        <v>#NUM!</v>
      </c>
      <c r="Q85" s="96" t="e">
        <f t="shared" si="19"/>
        <v>#NUM!</v>
      </c>
      <c r="R85" s="96" t="e">
        <f t="shared" si="19"/>
        <v>#NUM!</v>
      </c>
      <c r="S85" s="96" t="e">
        <f t="shared" si="19"/>
        <v>#NUM!</v>
      </c>
      <c r="T85" s="96" t="e">
        <f t="shared" si="20"/>
        <v>#NUM!</v>
      </c>
      <c r="U85" s="96" t="e">
        <f t="shared" si="20"/>
        <v>#NUM!</v>
      </c>
      <c r="V85" s="96" t="e">
        <f t="shared" si="20"/>
        <v>#NUM!</v>
      </c>
      <c r="W85" s="96" t="e">
        <f t="shared" si="20"/>
        <v>#NUM!</v>
      </c>
      <c r="X85" s="96" t="e">
        <f t="shared" si="20"/>
        <v>#NUM!</v>
      </c>
      <c r="Y85" s="96" t="e">
        <f t="shared" si="20"/>
        <v>#NUM!</v>
      </c>
      <c r="Z85" s="96" t="e">
        <f t="shared" si="20"/>
        <v>#NUM!</v>
      </c>
      <c r="AA85" s="96" t="e">
        <f t="shared" si="20"/>
        <v>#NUM!</v>
      </c>
    </row>
    <row r="86" spans="1:27" x14ac:dyDescent="0.35">
      <c r="B86">
        <v>0.6</v>
      </c>
      <c r="C86" s="96" t="e">
        <f t="shared" si="21"/>
        <v>#NUM!</v>
      </c>
      <c r="D86" s="96">
        <f t="shared" si="19"/>
        <v>21.778322426457805</v>
      </c>
      <c r="E86" s="96">
        <f t="shared" si="19"/>
        <v>90.236227994752937</v>
      </c>
      <c r="F86" s="96">
        <f t="shared" si="19"/>
        <v>158.70020578253028</v>
      </c>
      <c r="G86" s="96">
        <f t="shared" si="19"/>
        <v>227.78726870157652</v>
      </c>
      <c r="H86" s="96">
        <f t="shared" si="19"/>
        <v>254.64060963531833</v>
      </c>
      <c r="I86" s="96">
        <f t="shared" si="19"/>
        <v>269.96738690805273</v>
      </c>
      <c r="J86" s="96">
        <f t="shared" si="19"/>
        <v>284.58141113317862</v>
      </c>
      <c r="K86" s="96" t="e">
        <f t="shared" si="19"/>
        <v>#DIV/0!</v>
      </c>
      <c r="L86" s="96" t="e">
        <f t="shared" si="19"/>
        <v>#NUM!</v>
      </c>
      <c r="M86" s="96" t="e">
        <f t="shared" si="19"/>
        <v>#NUM!</v>
      </c>
      <c r="N86" s="96" t="e">
        <f t="shared" si="19"/>
        <v>#NUM!</v>
      </c>
      <c r="O86" s="96" t="e">
        <f t="shared" si="19"/>
        <v>#NUM!</v>
      </c>
      <c r="P86" s="96" t="e">
        <f t="shared" si="19"/>
        <v>#NUM!</v>
      </c>
      <c r="Q86" s="96" t="e">
        <f t="shared" si="19"/>
        <v>#NUM!</v>
      </c>
      <c r="R86" s="96" t="e">
        <f t="shared" si="19"/>
        <v>#NUM!</v>
      </c>
      <c r="S86" s="96" t="e">
        <f t="shared" si="19"/>
        <v>#NUM!</v>
      </c>
      <c r="T86" s="96" t="e">
        <f t="shared" si="20"/>
        <v>#NUM!</v>
      </c>
      <c r="U86" s="96" t="e">
        <f t="shared" si="20"/>
        <v>#NUM!</v>
      </c>
      <c r="V86" s="96" t="e">
        <f t="shared" si="20"/>
        <v>#NUM!</v>
      </c>
      <c r="W86" s="96" t="e">
        <f t="shared" si="20"/>
        <v>#NUM!</v>
      </c>
      <c r="X86" s="96" t="e">
        <f t="shared" si="20"/>
        <v>#NUM!</v>
      </c>
      <c r="Y86" s="96" t="e">
        <f t="shared" si="20"/>
        <v>#NUM!</v>
      </c>
      <c r="Z86" s="96" t="e">
        <f t="shared" si="20"/>
        <v>#NUM!</v>
      </c>
      <c r="AA86" s="96" t="e">
        <f t="shared" si="20"/>
        <v>#NUM!</v>
      </c>
    </row>
    <row r="87" spans="1:27" x14ac:dyDescent="0.35">
      <c r="B87">
        <v>0.7</v>
      </c>
      <c r="C87" s="96" t="e">
        <f t="shared" si="21"/>
        <v>#NUM!</v>
      </c>
      <c r="D87" s="96">
        <f t="shared" si="19"/>
        <v>21.396403018336827</v>
      </c>
      <c r="E87" s="96">
        <f t="shared" si="19"/>
        <v>89.854308586631987</v>
      </c>
      <c r="F87" s="96">
        <f t="shared" si="19"/>
        <v>158.3182863744093</v>
      </c>
      <c r="G87" s="96">
        <f t="shared" si="19"/>
        <v>227.40534929345552</v>
      </c>
      <c r="H87" s="96">
        <f t="shared" si="19"/>
        <v>254.25869022719735</v>
      </c>
      <c r="I87" s="96">
        <f t="shared" si="19"/>
        <v>269.58546749993172</v>
      </c>
      <c r="J87" s="96">
        <f t="shared" si="19"/>
        <v>284.19949172505761</v>
      </c>
      <c r="K87" s="96" t="e">
        <f t="shared" si="19"/>
        <v>#DIV/0!</v>
      </c>
      <c r="L87" s="96" t="e">
        <f t="shared" si="19"/>
        <v>#NUM!</v>
      </c>
      <c r="M87" s="96" t="e">
        <f t="shared" si="19"/>
        <v>#NUM!</v>
      </c>
      <c r="N87" s="96" t="e">
        <f t="shared" si="19"/>
        <v>#NUM!</v>
      </c>
      <c r="O87" s="96" t="e">
        <f t="shared" si="19"/>
        <v>#NUM!</v>
      </c>
      <c r="P87" s="96" t="e">
        <f t="shared" si="19"/>
        <v>#NUM!</v>
      </c>
      <c r="Q87" s="96" t="e">
        <f t="shared" si="19"/>
        <v>#NUM!</v>
      </c>
      <c r="R87" s="96" t="e">
        <f t="shared" si="19"/>
        <v>#NUM!</v>
      </c>
      <c r="S87" s="96" t="e">
        <f t="shared" si="19"/>
        <v>#NUM!</v>
      </c>
      <c r="T87" s="96" t="e">
        <f t="shared" si="20"/>
        <v>#NUM!</v>
      </c>
      <c r="U87" s="96" t="e">
        <f t="shared" si="20"/>
        <v>#NUM!</v>
      </c>
      <c r="V87" s="96" t="e">
        <f t="shared" si="20"/>
        <v>#NUM!</v>
      </c>
      <c r="W87" s="96" t="e">
        <f t="shared" si="20"/>
        <v>#NUM!</v>
      </c>
      <c r="X87" s="96" t="e">
        <f t="shared" si="20"/>
        <v>#NUM!</v>
      </c>
      <c r="Y87" s="96" t="e">
        <f t="shared" si="20"/>
        <v>#NUM!</v>
      </c>
      <c r="Z87" s="96" t="e">
        <f t="shared" si="20"/>
        <v>#NUM!</v>
      </c>
      <c r="AA87" s="96" t="e">
        <f t="shared" si="20"/>
        <v>#NUM!</v>
      </c>
    </row>
    <row r="88" spans="1:27" x14ac:dyDescent="0.35">
      <c r="B88">
        <v>0.8</v>
      </c>
      <c r="C88" s="96" t="e">
        <f t="shared" si="21"/>
        <v>#NUM!</v>
      </c>
      <c r="D88" s="96">
        <f t="shared" si="19"/>
        <v>21.06556937884929</v>
      </c>
      <c r="E88" s="96">
        <f t="shared" si="19"/>
        <v>89.523474947144422</v>
      </c>
      <c r="F88" s="96">
        <f t="shared" si="19"/>
        <v>157.98745273492176</v>
      </c>
      <c r="G88" s="96">
        <f t="shared" si="19"/>
        <v>227.07451565396801</v>
      </c>
      <c r="H88" s="96">
        <f t="shared" si="19"/>
        <v>253.92785658770984</v>
      </c>
      <c r="I88" s="96">
        <f t="shared" si="19"/>
        <v>269.25463386044424</v>
      </c>
      <c r="J88" s="96">
        <f t="shared" si="19"/>
        <v>283.86865808557013</v>
      </c>
      <c r="K88" s="96" t="e">
        <f t="shared" si="19"/>
        <v>#DIV/0!</v>
      </c>
      <c r="L88" s="96" t="e">
        <f t="shared" si="19"/>
        <v>#NUM!</v>
      </c>
      <c r="M88" s="96" t="e">
        <f t="shared" si="19"/>
        <v>#NUM!</v>
      </c>
      <c r="N88" s="96" t="e">
        <f t="shared" si="19"/>
        <v>#NUM!</v>
      </c>
      <c r="O88" s="96" t="e">
        <f t="shared" si="19"/>
        <v>#NUM!</v>
      </c>
      <c r="P88" s="96" t="e">
        <f t="shared" si="19"/>
        <v>#NUM!</v>
      </c>
      <c r="Q88" s="96" t="e">
        <f t="shared" si="19"/>
        <v>#NUM!</v>
      </c>
      <c r="R88" s="96" t="e">
        <f t="shared" si="19"/>
        <v>#NUM!</v>
      </c>
      <c r="S88" s="96" t="e">
        <f t="shared" si="19"/>
        <v>#NUM!</v>
      </c>
      <c r="T88" s="96" t="e">
        <f t="shared" si="20"/>
        <v>#NUM!</v>
      </c>
      <c r="U88" s="96" t="e">
        <f t="shared" si="20"/>
        <v>#NUM!</v>
      </c>
      <c r="V88" s="96" t="e">
        <f t="shared" si="20"/>
        <v>#NUM!</v>
      </c>
      <c r="W88" s="96" t="e">
        <f t="shared" si="20"/>
        <v>#NUM!</v>
      </c>
      <c r="X88" s="96" t="e">
        <f t="shared" si="20"/>
        <v>#NUM!</v>
      </c>
      <c r="Y88" s="96" t="e">
        <f t="shared" si="20"/>
        <v>#NUM!</v>
      </c>
      <c r="Z88" s="96" t="e">
        <f t="shared" si="20"/>
        <v>#NUM!</v>
      </c>
      <c r="AA88" s="96" t="e">
        <f t="shared" si="20"/>
        <v>#NUM!</v>
      </c>
    </row>
    <row r="89" spans="1:27" x14ac:dyDescent="0.35">
      <c r="B89">
        <v>0.9</v>
      </c>
      <c r="C89" s="96" t="e">
        <f t="shared" si="21"/>
        <v>#NUM!</v>
      </c>
      <c r="D89" s="96">
        <f t="shared" si="19"/>
        <v>20.773753427632045</v>
      </c>
      <c r="E89" s="96">
        <f t="shared" si="19"/>
        <v>89.231658995927205</v>
      </c>
      <c r="F89" s="96">
        <f t="shared" si="19"/>
        <v>157.69563678370451</v>
      </c>
      <c r="G89" s="96">
        <f t="shared" si="19"/>
        <v>226.78269970275073</v>
      </c>
      <c r="H89" s="96">
        <f t="shared" si="19"/>
        <v>253.63604063649257</v>
      </c>
      <c r="I89" s="96">
        <f t="shared" si="19"/>
        <v>268.96281790922694</v>
      </c>
      <c r="J89" s="96">
        <f t="shared" si="19"/>
        <v>283.57684213435283</v>
      </c>
      <c r="K89" s="96" t="e">
        <f t="shared" si="19"/>
        <v>#DIV/0!</v>
      </c>
      <c r="L89" s="96" t="e">
        <f t="shared" si="19"/>
        <v>#NUM!</v>
      </c>
      <c r="M89" s="96" t="e">
        <f t="shared" si="19"/>
        <v>#NUM!</v>
      </c>
      <c r="N89" s="96" t="e">
        <f t="shared" si="19"/>
        <v>#NUM!</v>
      </c>
      <c r="O89" s="96" t="e">
        <f t="shared" si="19"/>
        <v>#NUM!</v>
      </c>
      <c r="P89" s="96" t="e">
        <f t="shared" si="19"/>
        <v>#NUM!</v>
      </c>
      <c r="Q89" s="96" t="e">
        <f t="shared" si="19"/>
        <v>#NUM!</v>
      </c>
      <c r="R89" s="96" t="e">
        <f t="shared" si="19"/>
        <v>#NUM!</v>
      </c>
      <c r="S89" s="96" t="e">
        <f t="shared" si="19"/>
        <v>#NUM!</v>
      </c>
      <c r="T89" s="96" t="e">
        <f t="shared" si="20"/>
        <v>#NUM!</v>
      </c>
      <c r="U89" s="96" t="e">
        <f t="shared" si="20"/>
        <v>#NUM!</v>
      </c>
      <c r="V89" s="96" t="e">
        <f t="shared" si="20"/>
        <v>#NUM!</v>
      </c>
      <c r="W89" s="96" t="e">
        <f t="shared" si="20"/>
        <v>#NUM!</v>
      </c>
      <c r="X89" s="96" t="e">
        <f t="shared" si="20"/>
        <v>#NUM!</v>
      </c>
      <c r="Y89" s="96" t="e">
        <f t="shared" si="20"/>
        <v>#NUM!</v>
      </c>
      <c r="Z89" s="96" t="e">
        <f t="shared" si="20"/>
        <v>#NUM!</v>
      </c>
      <c r="AA89" s="96" t="e">
        <f t="shared" si="20"/>
        <v>#NUM!</v>
      </c>
    </row>
    <row r="90" spans="1:27" x14ac:dyDescent="0.35">
      <c r="B90">
        <v>1</v>
      </c>
      <c r="C90" s="96" t="e">
        <f t="shared" si="21"/>
        <v>#NUM!</v>
      </c>
      <c r="D90" s="96">
        <f t="shared" si="19"/>
        <v>20.512715164132629</v>
      </c>
      <c r="E90" s="96">
        <f t="shared" si="19"/>
        <v>88.97062073242779</v>
      </c>
      <c r="F90" s="96">
        <f t="shared" si="19"/>
        <v>157.43459852020513</v>
      </c>
      <c r="G90" s="96">
        <f t="shared" si="19"/>
        <v>226.52166143925135</v>
      </c>
      <c r="H90" s="96">
        <f t="shared" si="19"/>
        <v>253.37500237299318</v>
      </c>
      <c r="I90" s="96">
        <f t="shared" si="19"/>
        <v>268.70177964572758</v>
      </c>
      <c r="J90" s="96">
        <f t="shared" si="19"/>
        <v>283.31580387085347</v>
      </c>
      <c r="K90" s="96" t="e">
        <f t="shared" si="19"/>
        <v>#DIV/0!</v>
      </c>
      <c r="L90" s="96" t="e">
        <f t="shared" si="19"/>
        <v>#NUM!</v>
      </c>
      <c r="M90" s="96" t="e">
        <f t="shared" si="19"/>
        <v>#NUM!</v>
      </c>
      <c r="N90" s="96" t="e">
        <f t="shared" si="19"/>
        <v>#NUM!</v>
      </c>
      <c r="O90" s="96" t="e">
        <f t="shared" si="19"/>
        <v>#NUM!</v>
      </c>
      <c r="P90" s="96" t="e">
        <f t="shared" si="19"/>
        <v>#NUM!</v>
      </c>
      <c r="Q90" s="96" t="e">
        <f t="shared" si="19"/>
        <v>#NUM!</v>
      </c>
      <c r="R90" s="96" t="e">
        <f t="shared" si="19"/>
        <v>#NUM!</v>
      </c>
      <c r="S90" s="96" t="e">
        <f t="shared" si="19"/>
        <v>#NUM!</v>
      </c>
      <c r="T90" s="96" t="e">
        <f t="shared" si="20"/>
        <v>#NUM!</v>
      </c>
      <c r="U90" s="96" t="e">
        <f t="shared" si="20"/>
        <v>#NUM!</v>
      </c>
      <c r="V90" s="96" t="e">
        <f t="shared" si="20"/>
        <v>#NUM!</v>
      </c>
      <c r="W90" s="96" t="e">
        <f t="shared" si="20"/>
        <v>#NUM!</v>
      </c>
      <c r="X90" s="96" t="e">
        <f t="shared" si="20"/>
        <v>#NUM!</v>
      </c>
      <c r="Y90" s="96" t="e">
        <f t="shared" si="20"/>
        <v>#NUM!</v>
      </c>
      <c r="Z90" s="96" t="e">
        <f t="shared" si="20"/>
        <v>#NUM!</v>
      </c>
      <c r="AA90" s="96" t="e">
        <f t="shared" si="20"/>
        <v>#NUM!</v>
      </c>
    </row>
    <row r="92" spans="1:27" x14ac:dyDescent="0.35">
      <c r="A92" t="s">
        <v>593</v>
      </c>
      <c r="B92" t="s">
        <v>592</v>
      </c>
      <c r="D92" s="98" t="s">
        <v>590</v>
      </c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</row>
    <row r="93" spans="1:27" x14ac:dyDescent="0.35">
      <c r="A93">
        <v>6</v>
      </c>
      <c r="B93" t="s">
        <v>591</v>
      </c>
      <c r="C93">
        <v>0</v>
      </c>
      <c r="D93">
        <v>1E-8</v>
      </c>
      <c r="E93">
        <v>9.9999999999999995E-7</v>
      </c>
      <c r="F93">
        <v>1E-4</v>
      </c>
      <c r="G93">
        <v>0.01</v>
      </c>
      <c r="H93">
        <v>0.05</v>
      </c>
      <c r="I93">
        <v>0.1</v>
      </c>
      <c r="J93">
        <v>0.15</v>
      </c>
      <c r="K93">
        <v>0.2</v>
      </c>
      <c r="L93">
        <v>0.25</v>
      </c>
      <c r="M93">
        <v>0.3</v>
      </c>
      <c r="N93">
        <v>0.35</v>
      </c>
      <c r="O93">
        <v>0.4</v>
      </c>
      <c r="P93">
        <v>0.45</v>
      </c>
      <c r="Q93">
        <v>0.5</v>
      </c>
      <c r="R93">
        <v>0.55000000000000004</v>
      </c>
      <c r="S93">
        <v>0.6</v>
      </c>
      <c r="T93">
        <v>0.65</v>
      </c>
      <c r="U93">
        <v>0.7</v>
      </c>
      <c r="V93">
        <v>0.75</v>
      </c>
      <c r="W93">
        <v>0.8</v>
      </c>
      <c r="X93">
        <v>0.85</v>
      </c>
      <c r="Y93">
        <v>0.9</v>
      </c>
      <c r="Z93">
        <v>0.95</v>
      </c>
      <c r="AA93">
        <v>1</v>
      </c>
    </row>
    <row r="94" spans="1:27" x14ac:dyDescent="0.35">
      <c r="A94">
        <v>274.40659999974702</v>
      </c>
      <c r="B94">
        <v>0</v>
      </c>
      <c r="C94" s="96" t="e">
        <f>274.406599999747+0.008314*298*LN((C$93*($A$93*C$93)^($A$93))/($B94*(1-$A$93*C$93)^($A$93)))</f>
        <v>#DIV/0!</v>
      </c>
      <c r="D94" s="96" t="e">
        <f t="shared" ref="D94:S105" si="22">274.406599999747+0.008314*298*LN((D$93*($A$93*D$93)^($A$93))/($B94*(1-$A$93*D$93)^($A$93)))</f>
        <v>#DIV/0!</v>
      </c>
      <c r="E94" s="96" t="e">
        <f t="shared" si="22"/>
        <v>#DIV/0!</v>
      </c>
      <c r="F94" s="96" t="e">
        <f t="shared" si="22"/>
        <v>#DIV/0!</v>
      </c>
      <c r="G94" s="96" t="e">
        <f t="shared" si="22"/>
        <v>#DIV/0!</v>
      </c>
      <c r="H94" s="96" t="e">
        <f t="shared" si="22"/>
        <v>#DIV/0!</v>
      </c>
      <c r="I94" s="96" t="e">
        <f t="shared" si="22"/>
        <v>#DIV/0!</v>
      </c>
      <c r="J94" s="96" t="e">
        <f t="shared" si="22"/>
        <v>#DIV/0!</v>
      </c>
      <c r="K94" s="96" t="e">
        <f t="shared" si="22"/>
        <v>#DIV/0!</v>
      </c>
      <c r="L94" s="96" t="e">
        <f t="shared" si="22"/>
        <v>#DIV/0!</v>
      </c>
      <c r="M94" s="96" t="e">
        <f t="shared" si="22"/>
        <v>#DIV/0!</v>
      </c>
      <c r="N94" s="96" t="e">
        <f t="shared" si="22"/>
        <v>#DIV/0!</v>
      </c>
      <c r="O94" s="96" t="e">
        <f t="shared" si="22"/>
        <v>#DIV/0!</v>
      </c>
      <c r="P94" s="96" t="e">
        <f t="shared" si="22"/>
        <v>#DIV/0!</v>
      </c>
      <c r="Q94" s="96" t="e">
        <f t="shared" si="22"/>
        <v>#DIV/0!</v>
      </c>
      <c r="R94" s="96" t="e">
        <f t="shared" si="22"/>
        <v>#DIV/0!</v>
      </c>
      <c r="S94" s="96" t="e">
        <f t="shared" si="22"/>
        <v>#DIV/0!</v>
      </c>
      <c r="T94" s="96" t="e">
        <f t="shared" ref="T94:AA105" si="23">274.406599999747+0.008314*298*LN((T$93*($A$93*T$93)^($A$93))/($B94*(1-$A$93*T$93)^($A$93)))</f>
        <v>#DIV/0!</v>
      </c>
      <c r="U94" s="96" t="e">
        <f t="shared" si="23"/>
        <v>#DIV/0!</v>
      </c>
      <c r="V94" s="96" t="e">
        <f t="shared" si="23"/>
        <v>#DIV/0!</v>
      </c>
      <c r="W94" s="96" t="e">
        <f t="shared" si="23"/>
        <v>#DIV/0!</v>
      </c>
      <c r="X94" s="96" t="e">
        <f t="shared" si="23"/>
        <v>#DIV/0!</v>
      </c>
      <c r="Y94" s="96" t="e">
        <f t="shared" si="23"/>
        <v>#DIV/0!</v>
      </c>
      <c r="Z94" s="96" t="e">
        <f t="shared" si="23"/>
        <v>#DIV/0!</v>
      </c>
      <c r="AA94" s="96" t="e">
        <f t="shared" si="23"/>
        <v>#DIV/0!</v>
      </c>
    </row>
    <row r="95" spans="1:27" x14ac:dyDescent="0.35">
      <c r="B95">
        <v>1.0000000000000001E-5</v>
      </c>
      <c r="C95" s="96"/>
      <c r="D95" s="96">
        <f t="shared" si="22"/>
        <v>10.096041386847105</v>
      </c>
      <c r="E95" s="96">
        <f t="shared" si="22"/>
        <v>89.963614644052939</v>
      </c>
      <c r="F95" s="96">
        <f t="shared" si="22"/>
        <v>169.83993234351411</v>
      </c>
      <c r="G95" s="96">
        <f t="shared" si="22"/>
        <v>250.61829997018154</v>
      </c>
      <c r="H95" s="96">
        <f t="shared" si="22"/>
        <v>282.91311064205905</v>
      </c>
      <c r="I95" s="96">
        <f t="shared" si="22"/>
        <v>303.25329540877937</v>
      </c>
      <c r="J95" s="96">
        <f t="shared" si="22"/>
        <v>330.89314295777086</v>
      </c>
      <c r="K95" s="96">
        <f t="shared" si="22"/>
        <v>325.57848201242479</v>
      </c>
      <c r="L95" s="96">
        <f t="shared" si="22"/>
        <v>315.82740394853585</v>
      </c>
      <c r="M95" s="96">
        <f t="shared" si="22"/>
        <v>312.00260044699394</v>
      </c>
      <c r="N95" s="96">
        <f t="shared" si="22"/>
        <v>309.94208401875193</v>
      </c>
      <c r="O95" s="96">
        <f t="shared" si="22"/>
        <v>308.67294133857303</v>
      </c>
      <c r="P95" s="96">
        <f t="shared" si="22"/>
        <v>307.82943996703074</v>
      </c>
      <c r="Q95" s="96">
        <f t="shared" si="22"/>
        <v>307.24079371636452</v>
      </c>
      <c r="R95" s="96">
        <f t="shared" si="22"/>
        <v>306.8161368953858</v>
      </c>
      <c r="S95" s="96">
        <f t="shared" si="22"/>
        <v>306.50263907245682</v>
      </c>
      <c r="T95" s="96">
        <f t="shared" si="23"/>
        <v>306.26752542265604</v>
      </c>
      <c r="U95" s="96">
        <f t="shared" si="23"/>
        <v>306.08942607166949</v>
      </c>
      <c r="V95" s="96">
        <f t="shared" si="23"/>
        <v>305.95384626646444</v>
      </c>
      <c r="W95" s="96">
        <f t="shared" si="23"/>
        <v>305.85063323955637</v>
      </c>
      <c r="X95" s="96">
        <f t="shared" si="23"/>
        <v>305.77248296507867</v>
      </c>
      <c r="Y95" s="96">
        <f t="shared" si="23"/>
        <v>305.71402092151408</v>
      </c>
      <c r="Z95" s="96">
        <f t="shared" si="23"/>
        <v>305.67121527120622</v>
      </c>
      <c r="AA95" s="96">
        <f t="shared" si="23"/>
        <v>305.64099047449889</v>
      </c>
    </row>
    <row r="96" spans="1:27" x14ac:dyDescent="0.35">
      <c r="B96">
        <v>0.1</v>
      </c>
      <c r="C96" s="96" t="e">
        <f t="shared" ref="C96:C105" si="24">274.406599999747+0.008314*298*LN((C$93*($A$93*C$93)^($A$93))/($B96*(1-$A$93*C$93)^($A$93)))</f>
        <v>#NUM!</v>
      </c>
      <c r="D96" s="96">
        <f t="shared" si="22"/>
        <v>-12.723240029230681</v>
      </c>
      <c r="E96" s="96">
        <f t="shared" si="22"/>
        <v>67.144333227975153</v>
      </c>
      <c r="F96" s="96">
        <f t="shared" si="22"/>
        <v>147.02065092743635</v>
      </c>
      <c r="G96" s="96">
        <f t="shared" si="22"/>
        <v>227.79901855410378</v>
      </c>
      <c r="H96" s="96">
        <f t="shared" si="22"/>
        <v>260.09382922598127</v>
      </c>
      <c r="I96" s="96">
        <f t="shared" si="22"/>
        <v>280.43401399270158</v>
      </c>
      <c r="J96" s="96">
        <f t="shared" si="22"/>
        <v>308.07386154169308</v>
      </c>
      <c r="K96" s="96">
        <f t="shared" si="22"/>
        <v>302.759200596347</v>
      </c>
      <c r="L96" s="96">
        <f t="shared" si="22"/>
        <v>293.00812253245806</v>
      </c>
      <c r="M96" s="96">
        <f t="shared" si="22"/>
        <v>289.18331903091615</v>
      </c>
      <c r="N96" s="96">
        <f t="shared" si="22"/>
        <v>287.1228026026742</v>
      </c>
      <c r="O96" s="96">
        <f t="shared" si="22"/>
        <v>285.85365992249524</v>
      </c>
      <c r="P96" s="96">
        <f t="shared" si="22"/>
        <v>285.01015855095301</v>
      </c>
      <c r="Q96" s="96">
        <f t="shared" si="22"/>
        <v>284.42151230028674</v>
      </c>
      <c r="R96" s="96">
        <f t="shared" si="22"/>
        <v>283.99685547930807</v>
      </c>
      <c r="S96" s="96">
        <f t="shared" si="22"/>
        <v>283.68335765637903</v>
      </c>
      <c r="T96" s="96">
        <f t="shared" si="23"/>
        <v>283.44824400657825</v>
      </c>
      <c r="U96" s="96">
        <f t="shared" si="23"/>
        <v>283.27014465559171</v>
      </c>
      <c r="V96" s="96">
        <f t="shared" si="23"/>
        <v>283.13456485038665</v>
      </c>
      <c r="W96" s="96">
        <f t="shared" si="23"/>
        <v>283.03135182347859</v>
      </c>
      <c r="X96" s="96">
        <f t="shared" si="23"/>
        <v>282.95320154900088</v>
      </c>
      <c r="Y96" s="96">
        <f t="shared" si="23"/>
        <v>282.89473950543629</v>
      </c>
      <c r="Z96" s="96">
        <f t="shared" si="23"/>
        <v>282.85193385512844</v>
      </c>
      <c r="AA96" s="96">
        <f t="shared" si="23"/>
        <v>282.82170905842111</v>
      </c>
    </row>
    <row r="97" spans="2:27" x14ac:dyDescent="0.35">
      <c r="B97">
        <v>0.2</v>
      </c>
      <c r="C97" s="96" t="e">
        <f t="shared" si="24"/>
        <v>#NUM!</v>
      </c>
      <c r="D97" s="96">
        <f t="shared" si="22"/>
        <v>-14.440562075664957</v>
      </c>
      <c r="E97" s="96">
        <f t="shared" si="22"/>
        <v>65.427011181540877</v>
      </c>
      <c r="F97" s="96">
        <f t="shared" si="22"/>
        <v>145.30332888100207</v>
      </c>
      <c r="G97" s="96">
        <f t="shared" si="22"/>
        <v>226.08169650766951</v>
      </c>
      <c r="H97" s="96">
        <f t="shared" si="22"/>
        <v>258.37650717954705</v>
      </c>
      <c r="I97" s="96">
        <f t="shared" si="22"/>
        <v>278.7166919462673</v>
      </c>
      <c r="J97" s="96">
        <f t="shared" si="22"/>
        <v>306.3565394952588</v>
      </c>
      <c r="K97" s="96">
        <f t="shared" si="22"/>
        <v>301.04187854991272</v>
      </c>
      <c r="L97" s="96">
        <f t="shared" si="22"/>
        <v>291.29080048602384</v>
      </c>
      <c r="M97" s="96">
        <f t="shared" si="22"/>
        <v>287.46599698448193</v>
      </c>
      <c r="N97" s="96">
        <f t="shared" si="22"/>
        <v>285.40548055623992</v>
      </c>
      <c r="O97" s="96">
        <f t="shared" si="22"/>
        <v>284.13633787606096</v>
      </c>
      <c r="P97" s="96">
        <f t="shared" si="22"/>
        <v>283.29283650451873</v>
      </c>
      <c r="Q97" s="96">
        <f t="shared" si="22"/>
        <v>282.70419025385252</v>
      </c>
      <c r="R97" s="96">
        <f t="shared" si="22"/>
        <v>282.27953343287379</v>
      </c>
      <c r="S97" s="96">
        <f t="shared" si="22"/>
        <v>281.96603560994475</v>
      </c>
      <c r="T97" s="96">
        <f t="shared" si="23"/>
        <v>281.73092196014403</v>
      </c>
      <c r="U97" s="96">
        <f t="shared" si="23"/>
        <v>281.55282260915743</v>
      </c>
      <c r="V97" s="96">
        <f t="shared" si="23"/>
        <v>281.41724280395238</v>
      </c>
      <c r="W97" s="96">
        <f t="shared" si="23"/>
        <v>281.31402977704431</v>
      </c>
      <c r="X97" s="96">
        <f t="shared" si="23"/>
        <v>281.2358795025666</v>
      </c>
      <c r="Y97" s="96">
        <f t="shared" si="23"/>
        <v>281.17741745900207</v>
      </c>
      <c r="Z97" s="96">
        <f t="shared" si="23"/>
        <v>281.13461180869416</v>
      </c>
      <c r="AA97" s="96">
        <f t="shared" si="23"/>
        <v>281.10438701198689</v>
      </c>
    </row>
    <row r="98" spans="2:27" x14ac:dyDescent="0.35">
      <c r="B98">
        <v>0.3</v>
      </c>
      <c r="C98" s="96" t="e">
        <f t="shared" si="24"/>
        <v>#NUM!</v>
      </c>
      <c r="D98" s="96">
        <f t="shared" si="22"/>
        <v>-15.445131074490689</v>
      </c>
      <c r="E98" s="96">
        <f t="shared" si="22"/>
        <v>64.422442182715145</v>
      </c>
      <c r="F98" s="96">
        <f t="shared" si="22"/>
        <v>144.29875988217631</v>
      </c>
      <c r="G98" s="96">
        <f t="shared" si="22"/>
        <v>225.07712750884374</v>
      </c>
      <c r="H98" s="96">
        <f t="shared" si="22"/>
        <v>257.37193818072126</v>
      </c>
      <c r="I98" s="96">
        <f t="shared" si="22"/>
        <v>277.71212294744157</v>
      </c>
      <c r="J98" s="96">
        <f t="shared" si="22"/>
        <v>305.35197049643307</v>
      </c>
      <c r="K98" s="96">
        <f t="shared" si="22"/>
        <v>300.03730955108699</v>
      </c>
      <c r="L98" s="96">
        <f t="shared" si="22"/>
        <v>290.28623148719805</v>
      </c>
      <c r="M98" s="96">
        <f t="shared" si="22"/>
        <v>286.46142798565614</v>
      </c>
      <c r="N98" s="96">
        <f t="shared" si="22"/>
        <v>284.40091155741413</v>
      </c>
      <c r="O98" s="96">
        <f t="shared" si="22"/>
        <v>283.13176887723523</v>
      </c>
      <c r="P98" s="96">
        <f t="shared" si="22"/>
        <v>282.28826750569294</v>
      </c>
      <c r="Q98" s="96">
        <f t="shared" si="22"/>
        <v>281.69962125502673</v>
      </c>
      <c r="R98" s="96">
        <f t="shared" si="22"/>
        <v>281.274964434048</v>
      </c>
      <c r="S98" s="96">
        <f t="shared" si="22"/>
        <v>280.96146661111902</v>
      </c>
      <c r="T98" s="96">
        <f t="shared" si="23"/>
        <v>280.72635296131824</v>
      </c>
      <c r="U98" s="96">
        <f t="shared" si="23"/>
        <v>280.5482536103317</v>
      </c>
      <c r="V98" s="96">
        <f t="shared" si="23"/>
        <v>280.41267380512664</v>
      </c>
      <c r="W98" s="96">
        <f t="shared" si="23"/>
        <v>280.30946077821858</v>
      </c>
      <c r="X98" s="96">
        <f t="shared" si="23"/>
        <v>280.23131050374087</v>
      </c>
      <c r="Y98" s="96">
        <f t="shared" si="23"/>
        <v>280.17284846017628</v>
      </c>
      <c r="Z98" s="96">
        <f t="shared" si="23"/>
        <v>280.13004280986843</v>
      </c>
      <c r="AA98" s="96">
        <f t="shared" si="23"/>
        <v>280.0998180131611</v>
      </c>
    </row>
    <row r="99" spans="2:27" x14ac:dyDescent="0.35">
      <c r="B99">
        <v>0.4</v>
      </c>
      <c r="C99" s="96" t="e">
        <f t="shared" si="24"/>
        <v>#NUM!</v>
      </c>
      <c r="D99" s="96">
        <f t="shared" si="22"/>
        <v>-16.157884122099233</v>
      </c>
      <c r="E99" s="96">
        <f t="shared" si="22"/>
        <v>63.709689135106629</v>
      </c>
      <c r="F99" s="96">
        <f t="shared" si="22"/>
        <v>143.5860068345678</v>
      </c>
      <c r="G99" s="96">
        <f t="shared" si="22"/>
        <v>224.36437446123523</v>
      </c>
      <c r="H99" s="96">
        <f t="shared" si="22"/>
        <v>256.65918513311277</v>
      </c>
      <c r="I99" s="96">
        <f t="shared" si="22"/>
        <v>276.99936989983308</v>
      </c>
      <c r="J99" s="96">
        <f t="shared" si="22"/>
        <v>304.63921744882452</v>
      </c>
      <c r="K99" s="96">
        <f t="shared" si="22"/>
        <v>299.3245565034785</v>
      </c>
      <c r="L99" s="96">
        <f t="shared" si="22"/>
        <v>289.57347843958956</v>
      </c>
      <c r="M99" s="96">
        <f t="shared" si="22"/>
        <v>285.74867493804766</v>
      </c>
      <c r="N99" s="96">
        <f t="shared" si="22"/>
        <v>283.68815850980565</v>
      </c>
      <c r="O99" s="96">
        <f t="shared" si="22"/>
        <v>282.41901582962674</v>
      </c>
      <c r="P99" s="96">
        <f t="shared" si="22"/>
        <v>281.57551445808446</v>
      </c>
      <c r="Q99" s="96">
        <f t="shared" si="22"/>
        <v>280.98686820741824</v>
      </c>
      <c r="R99" s="96">
        <f t="shared" si="22"/>
        <v>280.56221138643951</v>
      </c>
      <c r="S99" s="96">
        <f t="shared" si="22"/>
        <v>280.24871356351053</v>
      </c>
      <c r="T99" s="96">
        <f t="shared" si="23"/>
        <v>280.01359991370975</v>
      </c>
      <c r="U99" s="96">
        <f t="shared" si="23"/>
        <v>279.83550056272315</v>
      </c>
      <c r="V99" s="96">
        <f t="shared" si="23"/>
        <v>279.6999207575181</v>
      </c>
      <c r="W99" s="96">
        <f t="shared" si="23"/>
        <v>279.59670773061009</v>
      </c>
      <c r="X99" s="96">
        <f t="shared" si="23"/>
        <v>279.51855745613238</v>
      </c>
      <c r="Y99" s="96">
        <f t="shared" si="23"/>
        <v>279.4600954125678</v>
      </c>
      <c r="Z99" s="96">
        <f t="shared" si="23"/>
        <v>279.41728976225988</v>
      </c>
      <c r="AA99" s="96">
        <f t="shared" si="23"/>
        <v>279.38706496555261</v>
      </c>
    </row>
    <row r="100" spans="2:27" x14ac:dyDescent="0.35">
      <c r="B100">
        <v>0.5</v>
      </c>
      <c r="C100" s="96" t="e">
        <f t="shared" si="24"/>
        <v>#NUM!</v>
      </c>
      <c r="D100" s="96">
        <f t="shared" si="22"/>
        <v>-16.710738336815893</v>
      </c>
      <c r="E100" s="96">
        <f t="shared" si="22"/>
        <v>63.156834920389969</v>
      </c>
      <c r="F100" s="96">
        <f t="shared" si="22"/>
        <v>143.03315261985117</v>
      </c>
      <c r="G100" s="96">
        <f t="shared" si="22"/>
        <v>223.8115202465186</v>
      </c>
      <c r="H100" s="96">
        <f t="shared" si="22"/>
        <v>256.10633091839611</v>
      </c>
      <c r="I100" s="96">
        <f t="shared" si="22"/>
        <v>276.44651568511642</v>
      </c>
      <c r="J100" s="96">
        <f t="shared" si="22"/>
        <v>304.08636323410792</v>
      </c>
      <c r="K100" s="96">
        <f t="shared" si="22"/>
        <v>298.77170228876184</v>
      </c>
      <c r="L100" s="96">
        <f t="shared" si="22"/>
        <v>289.0206242248729</v>
      </c>
      <c r="M100" s="96">
        <f t="shared" si="22"/>
        <v>285.195820723331</v>
      </c>
      <c r="N100" s="96">
        <f t="shared" si="22"/>
        <v>283.13530429508899</v>
      </c>
      <c r="O100" s="96">
        <f t="shared" si="22"/>
        <v>281.86616161491008</v>
      </c>
      <c r="P100" s="96">
        <f t="shared" si="22"/>
        <v>281.0226602433678</v>
      </c>
      <c r="Q100" s="96">
        <f t="shared" si="22"/>
        <v>280.43401399270158</v>
      </c>
      <c r="R100" s="96">
        <f t="shared" si="22"/>
        <v>280.00935717172285</v>
      </c>
      <c r="S100" s="96">
        <f t="shared" si="22"/>
        <v>279.69585934879387</v>
      </c>
      <c r="T100" s="96">
        <f t="shared" si="23"/>
        <v>279.46074569899309</v>
      </c>
      <c r="U100" s="96">
        <f t="shared" si="23"/>
        <v>279.28264634800655</v>
      </c>
      <c r="V100" s="96">
        <f t="shared" si="23"/>
        <v>279.14706654280144</v>
      </c>
      <c r="W100" s="96">
        <f t="shared" si="23"/>
        <v>279.04385351589343</v>
      </c>
      <c r="X100" s="96">
        <f t="shared" si="23"/>
        <v>278.96570324141572</v>
      </c>
      <c r="Y100" s="96">
        <f t="shared" si="23"/>
        <v>278.90724119785114</v>
      </c>
      <c r="Z100" s="96">
        <f t="shared" si="23"/>
        <v>278.86443554754328</v>
      </c>
      <c r="AA100" s="96">
        <f t="shared" si="23"/>
        <v>278.83421075083595</v>
      </c>
    </row>
    <row r="101" spans="2:27" x14ac:dyDescent="0.35">
      <c r="B101">
        <v>0.6</v>
      </c>
      <c r="C101" s="96" t="e">
        <f t="shared" si="24"/>
        <v>#NUM!</v>
      </c>
      <c r="D101" s="96">
        <f t="shared" si="22"/>
        <v>-17.162453120924965</v>
      </c>
      <c r="E101" s="96">
        <f t="shared" si="22"/>
        <v>62.705120136280868</v>
      </c>
      <c r="F101" s="96">
        <f t="shared" si="22"/>
        <v>142.58143783574207</v>
      </c>
      <c r="G101" s="96">
        <f t="shared" si="22"/>
        <v>223.35980546240947</v>
      </c>
      <c r="H101" s="96">
        <f t="shared" si="22"/>
        <v>255.65461613428698</v>
      </c>
      <c r="I101" s="96">
        <f t="shared" si="22"/>
        <v>275.9948009010073</v>
      </c>
      <c r="J101" s="96">
        <f t="shared" si="22"/>
        <v>303.63464844999879</v>
      </c>
      <c r="K101" s="96">
        <f t="shared" si="22"/>
        <v>298.31998750465272</v>
      </c>
      <c r="L101" s="96">
        <f t="shared" si="22"/>
        <v>288.56890944076378</v>
      </c>
      <c r="M101" s="96">
        <f t="shared" si="22"/>
        <v>284.74410593922187</v>
      </c>
      <c r="N101" s="96">
        <f t="shared" si="22"/>
        <v>282.68358951097986</v>
      </c>
      <c r="O101" s="96">
        <f t="shared" si="22"/>
        <v>281.41444683080096</v>
      </c>
      <c r="P101" s="96">
        <f t="shared" si="22"/>
        <v>280.57094545925867</v>
      </c>
      <c r="Q101" s="96">
        <f t="shared" si="22"/>
        <v>279.98229920859245</v>
      </c>
      <c r="R101" s="96">
        <f t="shared" si="22"/>
        <v>279.55764238761378</v>
      </c>
      <c r="S101" s="96">
        <f t="shared" si="22"/>
        <v>279.24414456468475</v>
      </c>
      <c r="T101" s="96">
        <f t="shared" si="23"/>
        <v>279.00903091488397</v>
      </c>
      <c r="U101" s="96">
        <f t="shared" si="23"/>
        <v>278.83093156389742</v>
      </c>
      <c r="V101" s="96">
        <f t="shared" si="23"/>
        <v>278.69535175869237</v>
      </c>
      <c r="W101" s="96">
        <f t="shared" si="23"/>
        <v>278.5921387317843</v>
      </c>
      <c r="X101" s="96">
        <f t="shared" si="23"/>
        <v>278.5139884573066</v>
      </c>
      <c r="Y101" s="96">
        <f t="shared" si="23"/>
        <v>278.45552641374201</v>
      </c>
      <c r="Z101" s="96">
        <f t="shared" si="23"/>
        <v>278.41272076343415</v>
      </c>
      <c r="AA101" s="96">
        <f t="shared" si="23"/>
        <v>278.38249596672682</v>
      </c>
    </row>
    <row r="102" spans="2:27" x14ac:dyDescent="0.35">
      <c r="B102">
        <v>0.7</v>
      </c>
      <c r="C102" s="96" t="e">
        <f t="shared" si="24"/>
        <v>#NUM!</v>
      </c>
      <c r="D102" s="96">
        <f t="shared" si="22"/>
        <v>-17.544372529045916</v>
      </c>
      <c r="E102" s="96">
        <f t="shared" si="22"/>
        <v>62.32320072815989</v>
      </c>
      <c r="F102" s="96">
        <f t="shared" si="22"/>
        <v>142.19951842762106</v>
      </c>
      <c r="G102" s="96">
        <f t="shared" si="22"/>
        <v>222.97788605428849</v>
      </c>
      <c r="H102" s="96">
        <f t="shared" si="22"/>
        <v>255.27269672616603</v>
      </c>
      <c r="I102" s="96">
        <f t="shared" si="22"/>
        <v>275.61288149288634</v>
      </c>
      <c r="J102" s="96">
        <f t="shared" si="22"/>
        <v>303.25272904187779</v>
      </c>
      <c r="K102" s="96">
        <f t="shared" si="22"/>
        <v>297.93806809653177</v>
      </c>
      <c r="L102" s="96">
        <f t="shared" si="22"/>
        <v>288.18699003264283</v>
      </c>
      <c r="M102" s="96">
        <f t="shared" si="22"/>
        <v>284.36218653110092</v>
      </c>
      <c r="N102" s="96">
        <f t="shared" si="22"/>
        <v>282.30167010285891</v>
      </c>
      <c r="O102" s="96">
        <f t="shared" si="22"/>
        <v>281.03252742268</v>
      </c>
      <c r="P102" s="96">
        <f t="shared" si="22"/>
        <v>280.18902605113772</v>
      </c>
      <c r="Q102" s="96">
        <f t="shared" si="22"/>
        <v>279.6003798004715</v>
      </c>
      <c r="R102" s="96">
        <f t="shared" si="22"/>
        <v>279.17572297949278</v>
      </c>
      <c r="S102" s="96">
        <f t="shared" si="22"/>
        <v>278.8622251565638</v>
      </c>
      <c r="T102" s="96">
        <f t="shared" si="23"/>
        <v>278.62711150676301</v>
      </c>
      <c r="U102" s="96">
        <f t="shared" si="23"/>
        <v>278.44901215577642</v>
      </c>
      <c r="V102" s="96">
        <f t="shared" si="23"/>
        <v>278.31343235057136</v>
      </c>
      <c r="W102" s="96">
        <f t="shared" si="23"/>
        <v>278.2102193236633</v>
      </c>
      <c r="X102" s="96">
        <f t="shared" si="23"/>
        <v>278.13206904918559</v>
      </c>
      <c r="Y102" s="96">
        <f t="shared" si="23"/>
        <v>278.07360700562106</v>
      </c>
      <c r="Z102" s="96">
        <f t="shared" si="23"/>
        <v>278.03080135531314</v>
      </c>
      <c r="AA102" s="96">
        <f t="shared" si="23"/>
        <v>278.00057655860587</v>
      </c>
    </row>
    <row r="103" spans="2:27" x14ac:dyDescent="0.35">
      <c r="B103">
        <v>0.8</v>
      </c>
      <c r="C103" s="96" t="e">
        <f t="shared" si="24"/>
        <v>#NUM!</v>
      </c>
      <c r="D103" s="96">
        <f t="shared" si="22"/>
        <v>-17.875206168533509</v>
      </c>
      <c r="E103" s="96">
        <f t="shared" si="22"/>
        <v>61.992367088672353</v>
      </c>
      <c r="F103" s="96">
        <f t="shared" si="22"/>
        <v>141.86868478813355</v>
      </c>
      <c r="G103" s="96">
        <f t="shared" si="22"/>
        <v>222.64705241480098</v>
      </c>
      <c r="H103" s="96">
        <f t="shared" si="22"/>
        <v>254.9418630866785</v>
      </c>
      <c r="I103" s="96">
        <f t="shared" si="22"/>
        <v>275.28204785339881</v>
      </c>
      <c r="J103" s="96">
        <f t="shared" si="22"/>
        <v>302.92189540239031</v>
      </c>
      <c r="K103" s="96">
        <f t="shared" si="22"/>
        <v>297.60723445704423</v>
      </c>
      <c r="L103" s="96">
        <f t="shared" si="22"/>
        <v>287.85615639315529</v>
      </c>
      <c r="M103" s="96">
        <f t="shared" si="22"/>
        <v>284.03135289161338</v>
      </c>
      <c r="N103" s="96">
        <f t="shared" si="22"/>
        <v>281.97083646337137</v>
      </c>
      <c r="O103" s="96">
        <f t="shared" si="22"/>
        <v>280.70169378319247</v>
      </c>
      <c r="P103" s="96">
        <f t="shared" si="22"/>
        <v>279.85819241165018</v>
      </c>
      <c r="Q103" s="96">
        <f t="shared" si="22"/>
        <v>279.26954616098396</v>
      </c>
      <c r="R103" s="96">
        <f t="shared" si="22"/>
        <v>278.84488934000524</v>
      </c>
      <c r="S103" s="96">
        <f t="shared" si="22"/>
        <v>278.53139151707626</v>
      </c>
      <c r="T103" s="96">
        <f t="shared" si="23"/>
        <v>278.29627786727548</v>
      </c>
      <c r="U103" s="96">
        <f t="shared" si="23"/>
        <v>278.11817851628894</v>
      </c>
      <c r="V103" s="96">
        <f t="shared" si="23"/>
        <v>277.98259871108382</v>
      </c>
      <c r="W103" s="96">
        <f t="shared" si="23"/>
        <v>277.87938568417582</v>
      </c>
      <c r="X103" s="96">
        <f t="shared" si="23"/>
        <v>277.80123540969811</v>
      </c>
      <c r="Y103" s="96">
        <f t="shared" si="23"/>
        <v>277.74277336613352</v>
      </c>
      <c r="Z103" s="96">
        <f t="shared" si="23"/>
        <v>277.69996771582566</v>
      </c>
      <c r="AA103" s="96">
        <f t="shared" si="23"/>
        <v>277.66974291911833</v>
      </c>
    </row>
    <row r="104" spans="2:27" x14ac:dyDescent="0.35">
      <c r="B104">
        <v>0.9</v>
      </c>
      <c r="C104" s="96" t="e">
        <f t="shared" si="24"/>
        <v>#NUM!</v>
      </c>
      <c r="D104" s="96">
        <f t="shared" si="22"/>
        <v>-18.167022119750698</v>
      </c>
      <c r="E104" s="96">
        <f t="shared" si="22"/>
        <v>61.700551137455108</v>
      </c>
      <c r="F104" s="96">
        <f t="shared" si="22"/>
        <v>141.57686883691628</v>
      </c>
      <c r="G104" s="96">
        <f t="shared" si="22"/>
        <v>222.35523646358371</v>
      </c>
      <c r="H104" s="96">
        <f t="shared" si="22"/>
        <v>254.65004713546122</v>
      </c>
      <c r="I104" s="96">
        <f t="shared" si="22"/>
        <v>274.99023190218156</v>
      </c>
      <c r="J104" s="96">
        <f t="shared" si="22"/>
        <v>302.630079451173</v>
      </c>
      <c r="K104" s="96">
        <f t="shared" si="22"/>
        <v>297.31541850582698</v>
      </c>
      <c r="L104" s="96">
        <f t="shared" si="22"/>
        <v>287.56434044193804</v>
      </c>
      <c r="M104" s="96">
        <f t="shared" si="22"/>
        <v>283.73953694039614</v>
      </c>
      <c r="N104" s="96">
        <f t="shared" si="22"/>
        <v>281.67902051215412</v>
      </c>
      <c r="O104" s="96">
        <f t="shared" si="22"/>
        <v>280.40987783197522</v>
      </c>
      <c r="P104" s="96">
        <f t="shared" si="22"/>
        <v>279.56637646043293</v>
      </c>
      <c r="Q104" s="96">
        <f t="shared" si="22"/>
        <v>278.97773020976672</v>
      </c>
      <c r="R104" s="96">
        <f t="shared" si="22"/>
        <v>278.55307338878799</v>
      </c>
      <c r="S104" s="96">
        <f t="shared" si="22"/>
        <v>278.23957556585901</v>
      </c>
      <c r="T104" s="96">
        <f t="shared" si="23"/>
        <v>278.00446191605823</v>
      </c>
      <c r="U104" s="96">
        <f t="shared" si="23"/>
        <v>277.82636256507163</v>
      </c>
      <c r="V104" s="96">
        <f t="shared" si="23"/>
        <v>277.69078275986658</v>
      </c>
      <c r="W104" s="96">
        <f t="shared" si="23"/>
        <v>277.58756973295857</v>
      </c>
      <c r="X104" s="96">
        <f t="shared" si="23"/>
        <v>277.50941945848081</v>
      </c>
      <c r="Y104" s="96">
        <f t="shared" si="23"/>
        <v>277.45095741491627</v>
      </c>
      <c r="Z104" s="96">
        <f t="shared" si="23"/>
        <v>277.40815176460836</v>
      </c>
      <c r="AA104" s="96">
        <f t="shared" si="23"/>
        <v>277.37792696790109</v>
      </c>
    </row>
    <row r="105" spans="2:27" x14ac:dyDescent="0.35">
      <c r="B105">
        <v>1</v>
      </c>
      <c r="C105" s="96" t="e">
        <f t="shared" si="24"/>
        <v>#NUM!</v>
      </c>
      <c r="D105" s="96">
        <f t="shared" si="22"/>
        <v>-18.428060383250113</v>
      </c>
      <c r="E105" s="96">
        <f t="shared" si="22"/>
        <v>61.439512873955692</v>
      </c>
      <c r="F105" s="96">
        <f t="shared" si="22"/>
        <v>141.31583057341689</v>
      </c>
      <c r="G105" s="96">
        <f t="shared" si="22"/>
        <v>222.09419820008432</v>
      </c>
      <c r="H105" s="96">
        <f t="shared" si="22"/>
        <v>254.38900887196183</v>
      </c>
      <c r="I105" s="96">
        <f t="shared" si="22"/>
        <v>274.72919363868215</v>
      </c>
      <c r="J105" s="96">
        <f t="shared" si="22"/>
        <v>302.36904118767364</v>
      </c>
      <c r="K105" s="96">
        <f t="shared" si="22"/>
        <v>297.05438024232757</v>
      </c>
      <c r="L105" s="96">
        <f t="shared" si="22"/>
        <v>287.30330217843863</v>
      </c>
      <c r="M105" s="96">
        <f t="shared" si="22"/>
        <v>283.47849867689672</v>
      </c>
      <c r="N105" s="96">
        <f t="shared" si="22"/>
        <v>281.41798224865471</v>
      </c>
      <c r="O105" s="96">
        <f t="shared" si="22"/>
        <v>280.14883956847581</v>
      </c>
      <c r="P105" s="96">
        <f t="shared" si="22"/>
        <v>279.30533819693352</v>
      </c>
      <c r="Q105" s="96">
        <f t="shared" si="22"/>
        <v>278.7166919462673</v>
      </c>
      <c r="R105" s="96">
        <f t="shared" si="22"/>
        <v>278.29203512528858</v>
      </c>
      <c r="S105" s="96">
        <f t="shared" si="22"/>
        <v>277.9785373023596</v>
      </c>
      <c r="T105" s="96">
        <f t="shared" si="23"/>
        <v>277.74342365255882</v>
      </c>
      <c r="U105" s="96">
        <f t="shared" si="23"/>
        <v>277.56532430157228</v>
      </c>
      <c r="V105" s="96">
        <f t="shared" si="23"/>
        <v>277.42974449636722</v>
      </c>
      <c r="W105" s="96">
        <f t="shared" si="23"/>
        <v>277.32653146945916</v>
      </c>
      <c r="X105" s="96">
        <f t="shared" si="23"/>
        <v>277.24838119498145</v>
      </c>
      <c r="Y105" s="96">
        <f t="shared" si="23"/>
        <v>277.18991915141686</v>
      </c>
      <c r="Z105" s="96">
        <f t="shared" si="23"/>
        <v>277.147113501109</v>
      </c>
      <c r="AA105" s="96">
        <f t="shared" si="23"/>
        <v>277.11688870440167</v>
      </c>
    </row>
    <row r="109" spans="2:27" x14ac:dyDescent="0.35"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Z109" s="96">
        <v>0</v>
      </c>
      <c r="AA109" s="96">
        <v>0</v>
      </c>
    </row>
    <row r="110" spans="2:27" x14ac:dyDescent="0.35"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</row>
    <row r="111" spans="2:27" x14ac:dyDescent="0.35">
      <c r="C111" s="96">
        <v>0</v>
      </c>
      <c r="D111" s="96">
        <v>0</v>
      </c>
      <c r="E111" s="96">
        <v>0</v>
      </c>
      <c r="F111" s="96">
        <v>0</v>
      </c>
      <c r="G111" s="96">
        <v>0</v>
      </c>
      <c r="H111" s="96">
        <v>0</v>
      </c>
      <c r="I111" s="96">
        <v>0</v>
      </c>
      <c r="J111" s="96">
        <v>0</v>
      </c>
      <c r="K111" s="96">
        <v>0</v>
      </c>
      <c r="L111" s="96">
        <v>0</v>
      </c>
      <c r="M111" s="96">
        <v>0</v>
      </c>
      <c r="N111" s="96">
        <v>0</v>
      </c>
      <c r="O111" s="96">
        <v>0</v>
      </c>
      <c r="P111" s="96">
        <v>0</v>
      </c>
      <c r="Q111" s="96">
        <v>0</v>
      </c>
      <c r="R111" s="96">
        <v>0</v>
      </c>
      <c r="S111" s="96">
        <v>0</v>
      </c>
      <c r="T111" s="96">
        <v>0</v>
      </c>
      <c r="U111" s="96">
        <v>0</v>
      </c>
      <c r="V111" s="96">
        <v>0</v>
      </c>
      <c r="W111" s="96">
        <v>0</v>
      </c>
      <c r="X111" s="96">
        <v>0</v>
      </c>
      <c r="Y111" s="96">
        <v>0</v>
      </c>
      <c r="Z111" s="96">
        <v>0</v>
      </c>
      <c r="AA111" s="96">
        <v>0</v>
      </c>
    </row>
    <row r="112" spans="2:27" x14ac:dyDescent="0.35"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96">
        <v>0</v>
      </c>
      <c r="N112" s="96">
        <v>0</v>
      </c>
      <c r="O112" s="96">
        <v>0</v>
      </c>
      <c r="P112" s="96">
        <v>0</v>
      </c>
      <c r="Q112" s="96">
        <v>0</v>
      </c>
      <c r="R112" s="96">
        <v>0</v>
      </c>
      <c r="S112" s="96">
        <v>0</v>
      </c>
      <c r="T112" s="96">
        <v>0</v>
      </c>
      <c r="U112" s="96">
        <v>0</v>
      </c>
      <c r="V112" s="96">
        <v>0</v>
      </c>
      <c r="W112" s="96">
        <v>0</v>
      </c>
      <c r="X112" s="96">
        <v>0</v>
      </c>
      <c r="Y112" s="96">
        <v>0</v>
      </c>
      <c r="Z112" s="96">
        <v>0</v>
      </c>
      <c r="AA112" s="96">
        <v>0</v>
      </c>
    </row>
    <row r="113" spans="3:27" x14ac:dyDescent="0.35">
      <c r="C113" s="96">
        <v>0</v>
      </c>
      <c r="D113" s="96">
        <v>0</v>
      </c>
      <c r="E113" s="96">
        <v>0</v>
      </c>
      <c r="F113" s="96">
        <v>0</v>
      </c>
      <c r="G113" s="96">
        <v>0</v>
      </c>
      <c r="H113" s="96">
        <v>0</v>
      </c>
      <c r="I113" s="96">
        <v>0</v>
      </c>
      <c r="J113" s="96">
        <v>0</v>
      </c>
      <c r="K113" s="96">
        <v>0</v>
      </c>
      <c r="L113" s="96">
        <v>0</v>
      </c>
      <c r="M113" s="96">
        <v>0</v>
      </c>
      <c r="N113" s="96">
        <v>0</v>
      </c>
      <c r="O113" s="96">
        <v>0</v>
      </c>
      <c r="P113" s="96">
        <v>0</v>
      </c>
      <c r="Q113" s="96">
        <v>0</v>
      </c>
      <c r="R113" s="96">
        <v>0</v>
      </c>
      <c r="S113" s="96">
        <v>0</v>
      </c>
      <c r="T113" s="96">
        <v>0</v>
      </c>
      <c r="U113" s="96">
        <v>0</v>
      </c>
      <c r="V113" s="96">
        <v>0</v>
      </c>
      <c r="W113" s="96">
        <v>0</v>
      </c>
      <c r="X113" s="96">
        <v>0</v>
      </c>
      <c r="Y113" s="96">
        <v>0</v>
      </c>
      <c r="Z113" s="96">
        <v>0</v>
      </c>
      <c r="AA113" s="96">
        <v>0</v>
      </c>
    </row>
    <row r="114" spans="3:27" x14ac:dyDescent="0.35"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96">
        <v>0</v>
      </c>
      <c r="N114" s="96">
        <v>0</v>
      </c>
      <c r="O114" s="96">
        <v>0</v>
      </c>
      <c r="P114" s="96">
        <v>0</v>
      </c>
      <c r="Q114" s="96">
        <v>0</v>
      </c>
      <c r="R114" s="96">
        <v>0</v>
      </c>
      <c r="S114" s="96">
        <v>0</v>
      </c>
      <c r="T114" s="96">
        <v>0</v>
      </c>
      <c r="U114" s="96">
        <v>0</v>
      </c>
      <c r="V114" s="96">
        <v>0</v>
      </c>
      <c r="W114" s="96">
        <v>0</v>
      </c>
      <c r="X114" s="96">
        <v>0</v>
      </c>
      <c r="Y114" s="96">
        <v>0</v>
      </c>
      <c r="Z114" s="96">
        <v>0</v>
      </c>
      <c r="AA114" s="96">
        <v>0</v>
      </c>
    </row>
    <row r="115" spans="3:27" x14ac:dyDescent="0.35">
      <c r="C115" s="96">
        <v>0</v>
      </c>
      <c r="D115" s="96">
        <v>0</v>
      </c>
      <c r="E115" s="96">
        <v>0</v>
      </c>
      <c r="F115" s="96">
        <v>0</v>
      </c>
      <c r="G115" s="96">
        <v>0</v>
      </c>
      <c r="H115" s="96">
        <v>0</v>
      </c>
      <c r="I115" s="96">
        <v>0</v>
      </c>
      <c r="J115" s="96">
        <v>0</v>
      </c>
      <c r="K115" s="96">
        <v>0</v>
      </c>
      <c r="L115" s="96">
        <v>0</v>
      </c>
      <c r="M115" s="96">
        <v>0</v>
      </c>
      <c r="N115" s="96">
        <v>0</v>
      </c>
      <c r="O115" s="96">
        <v>0</v>
      </c>
      <c r="P115" s="96">
        <v>0</v>
      </c>
      <c r="Q115" s="96">
        <v>0</v>
      </c>
      <c r="R115" s="96">
        <v>0</v>
      </c>
      <c r="S115" s="96">
        <v>0</v>
      </c>
      <c r="T115" s="96">
        <v>0</v>
      </c>
      <c r="U115" s="96">
        <v>0</v>
      </c>
      <c r="V115" s="96">
        <v>0</v>
      </c>
      <c r="W115" s="96">
        <v>0</v>
      </c>
      <c r="X115" s="96">
        <v>0</v>
      </c>
      <c r="Y115" s="96">
        <v>0</v>
      </c>
      <c r="Z115" s="96">
        <v>0</v>
      </c>
      <c r="AA115" s="96">
        <v>0</v>
      </c>
    </row>
    <row r="116" spans="3:27" x14ac:dyDescent="0.35"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96">
        <v>0</v>
      </c>
      <c r="N116" s="96">
        <v>0</v>
      </c>
      <c r="O116" s="96">
        <v>0</v>
      </c>
      <c r="P116" s="96">
        <v>0</v>
      </c>
      <c r="Q116" s="96">
        <v>0</v>
      </c>
      <c r="R116" s="96">
        <v>0</v>
      </c>
      <c r="S116" s="96">
        <v>0</v>
      </c>
      <c r="T116" s="96">
        <v>0</v>
      </c>
      <c r="U116" s="96">
        <v>0</v>
      </c>
      <c r="V116" s="96">
        <v>0</v>
      </c>
      <c r="W116" s="96">
        <v>0</v>
      </c>
      <c r="X116" s="96">
        <v>0</v>
      </c>
      <c r="Y116" s="96">
        <v>0</v>
      </c>
      <c r="Z116" s="96">
        <v>0</v>
      </c>
      <c r="AA116" s="96">
        <v>0</v>
      </c>
    </row>
    <row r="117" spans="3:27" x14ac:dyDescent="0.35">
      <c r="C117" s="96">
        <v>0</v>
      </c>
      <c r="D117" s="96">
        <v>0</v>
      </c>
      <c r="E117" s="96">
        <v>0</v>
      </c>
      <c r="F117" s="96">
        <v>0</v>
      </c>
      <c r="G117" s="96">
        <v>0</v>
      </c>
      <c r="H117" s="96">
        <v>0</v>
      </c>
      <c r="I117" s="96">
        <v>0</v>
      </c>
      <c r="J117" s="96">
        <v>0</v>
      </c>
      <c r="K117" s="96">
        <v>0</v>
      </c>
      <c r="L117" s="96">
        <v>0</v>
      </c>
      <c r="M117" s="96">
        <v>0</v>
      </c>
      <c r="N117" s="96">
        <v>0</v>
      </c>
      <c r="O117" s="96">
        <v>0</v>
      </c>
      <c r="P117" s="96">
        <v>0</v>
      </c>
      <c r="Q117" s="96">
        <v>0</v>
      </c>
      <c r="R117" s="96">
        <v>0</v>
      </c>
      <c r="S117" s="96">
        <v>0</v>
      </c>
      <c r="T117" s="96">
        <v>0</v>
      </c>
      <c r="U117" s="96">
        <v>0</v>
      </c>
      <c r="V117" s="96">
        <v>0</v>
      </c>
      <c r="W117" s="96">
        <v>0</v>
      </c>
      <c r="X117" s="96">
        <v>0</v>
      </c>
      <c r="Y117" s="96">
        <v>0</v>
      </c>
      <c r="Z117" s="96">
        <v>0</v>
      </c>
      <c r="AA117" s="96">
        <v>0</v>
      </c>
    </row>
    <row r="118" spans="3:27" x14ac:dyDescent="0.35">
      <c r="C118" s="96">
        <v>0</v>
      </c>
      <c r="D118" s="96">
        <v>0</v>
      </c>
      <c r="E118" s="96">
        <v>0</v>
      </c>
      <c r="F118" s="96">
        <v>0</v>
      </c>
      <c r="G118" s="96">
        <v>0</v>
      </c>
      <c r="H118" s="96">
        <v>0</v>
      </c>
      <c r="I118" s="96">
        <v>0</v>
      </c>
      <c r="J118" s="96">
        <v>0</v>
      </c>
      <c r="K118" s="96">
        <v>0</v>
      </c>
      <c r="L118" s="96">
        <v>0</v>
      </c>
      <c r="M118" s="96">
        <v>0</v>
      </c>
      <c r="N118" s="96">
        <v>0</v>
      </c>
      <c r="O118" s="96">
        <v>0</v>
      </c>
      <c r="P118" s="96">
        <v>0</v>
      </c>
      <c r="Q118" s="96">
        <v>0</v>
      </c>
      <c r="R118" s="96">
        <v>0</v>
      </c>
      <c r="S118" s="96">
        <v>0</v>
      </c>
      <c r="T118" s="96">
        <v>0</v>
      </c>
      <c r="U118" s="96">
        <v>0</v>
      </c>
      <c r="V118" s="96">
        <v>0</v>
      </c>
      <c r="W118" s="96">
        <v>0</v>
      </c>
      <c r="X118" s="96">
        <v>0</v>
      </c>
      <c r="Y118" s="96">
        <v>0</v>
      </c>
      <c r="Z118" s="96">
        <v>0</v>
      </c>
      <c r="AA118" s="96">
        <v>0</v>
      </c>
    </row>
    <row r="119" spans="3:27" x14ac:dyDescent="0.35">
      <c r="C119" s="96">
        <v>0</v>
      </c>
      <c r="D119" s="96">
        <v>0</v>
      </c>
      <c r="E119" s="96">
        <v>0</v>
      </c>
      <c r="F119" s="96">
        <v>0</v>
      </c>
      <c r="G119" s="96">
        <v>0</v>
      </c>
      <c r="H119" s="96">
        <v>0</v>
      </c>
      <c r="I119" s="96">
        <v>0</v>
      </c>
      <c r="J119" s="96">
        <v>0</v>
      </c>
      <c r="K119" s="96">
        <v>0</v>
      </c>
      <c r="L119" s="96">
        <v>0</v>
      </c>
      <c r="M119" s="96">
        <v>0</v>
      </c>
      <c r="N119" s="96">
        <v>0</v>
      </c>
      <c r="O119" s="96">
        <v>0</v>
      </c>
      <c r="P119" s="96">
        <v>0</v>
      </c>
      <c r="Q119" s="96">
        <v>0</v>
      </c>
      <c r="R119" s="96">
        <v>0</v>
      </c>
      <c r="S119" s="96">
        <v>0</v>
      </c>
      <c r="T119" s="96">
        <v>0</v>
      </c>
      <c r="U119" s="96">
        <v>0</v>
      </c>
      <c r="V119" s="96">
        <v>0</v>
      </c>
      <c r="W119" s="96">
        <v>0</v>
      </c>
      <c r="X119" s="96">
        <v>0</v>
      </c>
      <c r="Y119" s="96">
        <v>0</v>
      </c>
      <c r="Z119" s="96">
        <v>0</v>
      </c>
      <c r="AA119" s="96">
        <v>0</v>
      </c>
    </row>
  </sheetData>
  <mergeCells count="8">
    <mergeCell ref="D92:S92"/>
    <mergeCell ref="D2:S2"/>
    <mergeCell ref="D1:J1"/>
    <mergeCell ref="D17:S17"/>
    <mergeCell ref="D32:S32"/>
    <mergeCell ref="D47:S47"/>
    <mergeCell ref="D62:S62"/>
    <mergeCell ref="D77:S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1"/>
  <sheetViews>
    <sheetView topLeftCell="A4" zoomScale="97" zoomScaleNormal="85" workbookViewId="0">
      <selection activeCell="E14" sqref="E14"/>
    </sheetView>
  </sheetViews>
  <sheetFormatPr defaultRowHeight="14.5" x14ac:dyDescent="0.35"/>
  <cols>
    <col min="1" max="1" width="41.26953125" customWidth="1"/>
    <col min="2" max="2" width="19.1796875" bestFit="1" customWidth="1"/>
    <col min="3" max="5" width="12.453125" bestFit="1" customWidth="1"/>
    <col min="6" max="6" width="19.26953125" style="1" bestFit="1" customWidth="1"/>
    <col min="7" max="7" width="12.453125" bestFit="1" customWidth="1"/>
    <col min="8" max="8" width="14.453125" bestFit="1" customWidth="1"/>
    <col min="10" max="10" width="10.7265625" bestFit="1" customWidth="1"/>
    <col min="11" max="14" width="8.453125" bestFit="1" customWidth="1"/>
    <col min="16" max="16" width="37.81640625" bestFit="1" customWidth="1"/>
    <col min="20" max="20" width="22.1796875" bestFit="1" customWidth="1"/>
    <col min="22" max="22" width="23" bestFit="1" customWidth="1"/>
  </cols>
  <sheetData>
    <row r="1" spans="1:14" x14ac:dyDescent="0.35">
      <c r="A1" t="s">
        <v>0</v>
      </c>
      <c r="B1" t="s">
        <v>1</v>
      </c>
    </row>
    <row r="2" spans="1:14" x14ac:dyDescent="0.35">
      <c r="A2" t="s">
        <v>2</v>
      </c>
    </row>
    <row r="3" spans="1:14" x14ac:dyDescent="0.35">
      <c r="C3" s="2" t="s">
        <v>3</v>
      </c>
      <c r="D3" s="2"/>
      <c r="G3" t="s">
        <v>4</v>
      </c>
    </row>
    <row r="4" spans="1:14" x14ac:dyDescent="0.35">
      <c r="B4" t="s">
        <v>5</v>
      </c>
      <c r="C4" s="2">
        <f>C6-273</f>
        <v>-110</v>
      </c>
      <c r="D4" s="2">
        <f>D6-273</f>
        <v>-73</v>
      </c>
      <c r="E4">
        <f>E6-273</f>
        <v>25</v>
      </c>
      <c r="F4">
        <f>F6-273</f>
        <v>27</v>
      </c>
      <c r="G4">
        <f>G6-273</f>
        <v>160</v>
      </c>
    </row>
    <row r="5" spans="1:14" x14ac:dyDescent="0.35">
      <c r="B5" s="3" t="s">
        <v>6</v>
      </c>
      <c r="C5" s="3" t="s">
        <v>7</v>
      </c>
      <c r="D5" s="3"/>
      <c r="E5" s="3"/>
      <c r="F5" s="4"/>
      <c r="G5" s="3"/>
      <c r="J5" s="3" t="s">
        <v>8</v>
      </c>
      <c r="K5" s="5"/>
      <c r="L5" s="5"/>
      <c r="M5" s="5"/>
      <c r="N5" s="5"/>
    </row>
    <row r="6" spans="1:14" ht="15" thickBot="1" x14ac:dyDescent="0.4">
      <c r="B6" s="3"/>
      <c r="C6" s="3">
        <v>163</v>
      </c>
      <c r="D6" s="3">
        <v>200</v>
      </c>
      <c r="E6" s="3">
        <v>298</v>
      </c>
      <c r="F6" s="4">
        <v>300</v>
      </c>
      <c r="G6" s="3">
        <v>433</v>
      </c>
      <c r="J6">
        <v>163</v>
      </c>
      <c r="K6">
        <v>200</v>
      </c>
      <c r="L6">
        <v>298</v>
      </c>
      <c r="M6" s="1">
        <v>300</v>
      </c>
      <c r="N6">
        <v>433</v>
      </c>
    </row>
    <row r="7" spans="1:14" x14ac:dyDescent="0.35">
      <c r="A7" s="6" t="s">
        <v>9</v>
      </c>
      <c r="B7" s="7" t="s">
        <v>10</v>
      </c>
      <c r="C7" s="8">
        <v>-1375.89807</v>
      </c>
      <c r="D7" s="8">
        <v>-1375.906017</v>
      </c>
      <c r="E7" s="8">
        <v>-1375.9309479999999</v>
      </c>
      <c r="F7" s="9">
        <v>-1375.9314690000001</v>
      </c>
      <c r="G7" s="10">
        <v>-1375.973647</v>
      </c>
      <c r="J7" s="11">
        <f t="shared" ref="J7:N10" si="0">C7-$C7</f>
        <v>0</v>
      </c>
      <c r="K7" s="11">
        <f t="shared" si="0"/>
        <v>-7.9470000000583241E-3</v>
      </c>
      <c r="L7" s="11">
        <f t="shared" si="0"/>
        <v>-3.2877999999982421E-2</v>
      </c>
      <c r="M7" s="11">
        <f t="shared" si="0"/>
        <v>-3.3399000000144952E-2</v>
      </c>
      <c r="N7" s="11">
        <f t="shared" si="0"/>
        <v>-7.5577000000066619E-2</v>
      </c>
    </row>
    <row r="8" spans="1:14" x14ac:dyDescent="0.35">
      <c r="B8" s="12" t="s">
        <v>11</v>
      </c>
      <c r="C8" s="13">
        <v>-204.671221</v>
      </c>
      <c r="D8" s="13">
        <v>-204.67399</v>
      </c>
      <c r="E8" s="13">
        <v>-204.68172200000001</v>
      </c>
      <c r="F8" s="14">
        <v>-204.681873</v>
      </c>
      <c r="G8" s="15">
        <v>-204.693074</v>
      </c>
      <c r="J8" s="11">
        <f t="shared" si="0"/>
        <v>0</v>
      </c>
      <c r="K8" s="11">
        <f t="shared" si="0"/>
        <v>-2.7690000000006876E-3</v>
      </c>
      <c r="L8" s="11">
        <f t="shared" si="0"/>
        <v>-1.0501000000004979E-2</v>
      </c>
      <c r="M8" s="11">
        <f t="shared" si="0"/>
        <v>-1.0651999999993222E-2</v>
      </c>
      <c r="N8" s="11">
        <f t="shared" si="0"/>
        <v>-2.1852999999993017E-2</v>
      </c>
    </row>
    <row r="9" spans="1:14" x14ac:dyDescent="0.35">
      <c r="B9" s="12" t="s">
        <v>12</v>
      </c>
      <c r="C9" s="13">
        <v>-76.402232999999995</v>
      </c>
      <c r="D9" s="13">
        <v>-76.404656000000003</v>
      </c>
      <c r="E9" s="13">
        <v>-76.411471000000006</v>
      </c>
      <c r="F9" s="14">
        <v>-76.411603999999997</v>
      </c>
      <c r="G9" s="15">
        <v>-76.421497000000002</v>
      </c>
      <c r="J9" s="11">
        <f t="shared" si="0"/>
        <v>0</v>
      </c>
      <c r="K9" s="11">
        <f t="shared" si="0"/>
        <v>-2.4230000000073915E-3</v>
      </c>
      <c r="L9" s="11">
        <f t="shared" si="0"/>
        <v>-9.2380000000105156E-3</v>
      </c>
      <c r="M9" s="11">
        <f t="shared" si="0"/>
        <v>-9.3710000000015725E-3</v>
      </c>
      <c r="N9" s="11">
        <f t="shared" si="0"/>
        <v>-1.9264000000006831E-2</v>
      </c>
    </row>
    <row r="10" spans="1:14" x14ac:dyDescent="0.35">
      <c r="B10" s="12" t="s">
        <v>13</v>
      </c>
      <c r="C10" s="13">
        <v>-76.665889000000007</v>
      </c>
      <c r="D10" s="13">
        <v>-76.668368999999998</v>
      </c>
      <c r="E10" s="13">
        <v>-76.675348</v>
      </c>
      <c r="F10" s="14">
        <v>-76.675483999999997</v>
      </c>
      <c r="G10" s="15">
        <v>-76.685655999999994</v>
      </c>
      <c r="J10" s="11">
        <f t="shared" si="0"/>
        <v>0</v>
      </c>
      <c r="K10" s="11">
        <f t="shared" si="0"/>
        <v>-2.479999999991378E-3</v>
      </c>
      <c r="L10" s="11">
        <f t="shared" si="0"/>
        <v>-9.4589999999925567E-3</v>
      </c>
      <c r="M10" s="11">
        <f t="shared" si="0"/>
        <v>-9.5949999999902502E-3</v>
      </c>
      <c r="N10" s="11">
        <f t="shared" si="0"/>
        <v>-1.9766999999987434E-2</v>
      </c>
    </row>
    <row r="11" spans="1:14" x14ac:dyDescent="0.35">
      <c r="B11" s="12"/>
      <c r="C11" s="13"/>
      <c r="D11" s="13"/>
      <c r="E11" s="13"/>
      <c r="F11" s="14"/>
      <c r="G11" s="15"/>
    </row>
    <row r="12" spans="1:14" x14ac:dyDescent="0.35">
      <c r="A12" s="6" t="s">
        <v>14</v>
      </c>
      <c r="B12" s="12" t="s">
        <v>15</v>
      </c>
      <c r="C12" s="13">
        <v>-1580.317749</v>
      </c>
      <c r="D12" s="13">
        <v>-1580.3266679999999</v>
      </c>
      <c r="E12" s="13">
        <v>-1580.354513</v>
      </c>
      <c r="F12" s="14">
        <v>-1580.3550929999999</v>
      </c>
      <c r="G12" s="15">
        <v>-1580.401875</v>
      </c>
      <c r="J12" s="11">
        <f t="shared" ref="J12:N15" si="1">C12-$C12</f>
        <v>0</v>
      </c>
      <c r="K12" s="11">
        <f t="shared" si="1"/>
        <v>-8.9189999998779967E-3</v>
      </c>
      <c r="L12" s="11">
        <f t="shared" si="1"/>
        <v>-3.6763999999948282E-2</v>
      </c>
      <c r="M12" s="11">
        <f t="shared" si="1"/>
        <v>-3.7343999999848165E-2</v>
      </c>
      <c r="N12" s="11">
        <f t="shared" si="1"/>
        <v>-8.4125999999969281E-2</v>
      </c>
    </row>
    <row r="13" spans="1:14" x14ac:dyDescent="0.35">
      <c r="B13" s="12" t="s">
        <v>16</v>
      </c>
      <c r="C13" s="13">
        <v>-1580.3194699999999</v>
      </c>
      <c r="D13" s="13">
        <v>-1580.327824</v>
      </c>
      <c r="E13" s="13">
        <v>-1580.354171</v>
      </c>
      <c r="F13" s="14">
        <v>-1580.354722</v>
      </c>
      <c r="G13" s="15">
        <v>-1580.399469</v>
      </c>
      <c r="J13" s="11">
        <f t="shared" si="1"/>
        <v>0</v>
      </c>
      <c r="K13" s="11">
        <f t="shared" si="1"/>
        <v>-8.3540000000539294E-3</v>
      </c>
      <c r="L13" s="11">
        <f t="shared" si="1"/>
        <v>-3.4701000000040949E-2</v>
      </c>
      <c r="M13" s="11">
        <f t="shared" si="1"/>
        <v>-3.5252000000127737E-2</v>
      </c>
      <c r="N13" s="11">
        <f t="shared" si="1"/>
        <v>-7.9999000000043452E-2</v>
      </c>
    </row>
    <row r="14" spans="1:14" x14ac:dyDescent="0.35">
      <c r="B14" s="12" t="s">
        <v>17</v>
      </c>
      <c r="C14" s="13">
        <v>-1580.323582</v>
      </c>
      <c r="D14" s="13">
        <v>-1580.3323539999999</v>
      </c>
      <c r="E14" s="13">
        <v>-1580.3597380000001</v>
      </c>
      <c r="F14" s="14">
        <v>-1580.360373</v>
      </c>
      <c r="G14" s="16">
        <v>-1580.4065029999999</v>
      </c>
      <c r="J14" s="11">
        <f t="shared" si="1"/>
        <v>0</v>
      </c>
      <c r="K14" s="11">
        <f t="shared" si="1"/>
        <v>-8.7719999999080756E-3</v>
      </c>
      <c r="L14" s="11">
        <f t="shared" si="1"/>
        <v>-3.6156000000119093E-2</v>
      </c>
      <c r="M14" s="11">
        <f t="shared" si="1"/>
        <v>-3.6790999999993801E-2</v>
      </c>
      <c r="N14" s="11">
        <f t="shared" si="1"/>
        <v>-8.2920999999942069E-2</v>
      </c>
    </row>
    <row r="15" spans="1:14" x14ac:dyDescent="0.35">
      <c r="B15" s="12" t="s">
        <v>18</v>
      </c>
      <c r="C15" s="13">
        <v>-1580.3111329999999</v>
      </c>
      <c r="D15" s="13">
        <v>-1580.319882</v>
      </c>
      <c r="E15" s="13">
        <v>-1580.347346</v>
      </c>
      <c r="F15" s="14">
        <v>-1580.347921</v>
      </c>
      <c r="G15" s="15">
        <v>-1580.39427</v>
      </c>
      <c r="J15" s="11">
        <f t="shared" si="1"/>
        <v>0</v>
      </c>
      <c r="K15" s="11">
        <f t="shared" si="1"/>
        <v>-8.7490000000798318E-3</v>
      </c>
      <c r="L15" s="11">
        <f t="shared" si="1"/>
        <v>-3.6213000000088869E-2</v>
      </c>
      <c r="M15" s="11">
        <f t="shared" si="1"/>
        <v>-3.6788000000115062E-2</v>
      </c>
      <c r="N15" s="11">
        <f t="shared" si="1"/>
        <v>-8.3137000000078842E-2</v>
      </c>
    </row>
    <row r="16" spans="1:14" x14ac:dyDescent="0.35">
      <c r="B16" s="12"/>
      <c r="C16" s="13"/>
      <c r="D16" s="13"/>
      <c r="E16" s="13"/>
      <c r="F16" s="17">
        <v>-1580.347921</v>
      </c>
      <c r="G16" s="15"/>
      <c r="H16" s="18" t="s">
        <v>19</v>
      </c>
      <c r="J16" s="11"/>
      <c r="K16" s="11"/>
      <c r="L16" s="11"/>
      <c r="M16" s="11"/>
      <c r="N16" s="11"/>
    </row>
    <row r="17" spans="1:20" x14ac:dyDescent="0.35">
      <c r="B17" s="12" t="s">
        <v>20</v>
      </c>
      <c r="C17" s="13">
        <v>-1580.3117319999999</v>
      </c>
      <c r="D17" s="13">
        <v>-1580.3207010000001</v>
      </c>
      <c r="E17" s="13">
        <v>-1580.3487500000001</v>
      </c>
      <c r="F17" s="14">
        <v>-1580.3493350000001</v>
      </c>
      <c r="G17" s="15">
        <v>-1580.3964759999999</v>
      </c>
      <c r="J17" s="11">
        <f t="shared" ref="J17:N18" si="2">C17-$C17</f>
        <v>0</v>
      </c>
      <c r="K17" s="11">
        <f t="shared" si="2"/>
        <v>-8.9690000002065062E-3</v>
      </c>
      <c r="L17" s="11">
        <f t="shared" si="2"/>
        <v>-3.7018000000216489E-2</v>
      </c>
      <c r="M17" s="11">
        <f t="shared" si="2"/>
        <v>-3.7603000000217435E-2</v>
      </c>
      <c r="N17" s="11">
        <f t="shared" si="2"/>
        <v>-8.4744000000000597E-2</v>
      </c>
    </row>
    <row r="18" spans="1:20" ht="15" thickBot="1" x14ac:dyDescent="0.4">
      <c r="B18" s="19" t="s">
        <v>21</v>
      </c>
      <c r="C18" s="20">
        <v>-1580.3216420000001</v>
      </c>
      <c r="D18" s="20">
        <v>-1580.3304419999999</v>
      </c>
      <c r="E18" s="20">
        <v>-1580.35796</v>
      </c>
      <c r="F18" s="21">
        <v>-1580.358534</v>
      </c>
      <c r="G18" s="22">
        <v>-1580.4048560000001</v>
      </c>
      <c r="H18" s="23" t="s">
        <v>22</v>
      </c>
      <c r="J18" s="11">
        <f t="shared" si="2"/>
        <v>0</v>
      </c>
      <c r="K18" s="11">
        <f t="shared" si="2"/>
        <v>-8.7999999998373823E-3</v>
      </c>
      <c r="L18" s="11">
        <f t="shared" si="2"/>
        <v>-3.6317999999937456E-2</v>
      </c>
      <c r="M18" s="11">
        <f t="shared" si="2"/>
        <v>-3.6891999999852487E-2</v>
      </c>
      <c r="N18" s="11">
        <f t="shared" si="2"/>
        <v>-8.3213999999998123E-2</v>
      </c>
    </row>
    <row r="19" spans="1:20" x14ac:dyDescent="0.35">
      <c r="C19" s="24"/>
      <c r="D19" s="24"/>
      <c r="E19" s="24"/>
      <c r="F19" s="25">
        <v>-1580.3579569999999</v>
      </c>
      <c r="G19" s="24"/>
      <c r="H19" s="26" t="s">
        <v>23</v>
      </c>
      <c r="J19" s="11"/>
      <c r="K19" s="11"/>
      <c r="L19" s="11"/>
      <c r="M19" s="11"/>
      <c r="N19" s="11"/>
    </row>
    <row r="20" spans="1:20" x14ac:dyDescent="0.35">
      <c r="C20" s="24"/>
      <c r="D20" s="24"/>
      <c r="E20" s="24"/>
      <c r="F20" s="27">
        <v>-1580.3579589999999</v>
      </c>
      <c r="G20" s="24"/>
      <c r="H20" t="s">
        <v>24</v>
      </c>
    </row>
    <row r="21" spans="1:20" x14ac:dyDescent="0.35">
      <c r="F21" t="s">
        <v>25</v>
      </c>
    </row>
    <row r="22" spans="1:20" x14ac:dyDescent="0.35">
      <c r="A22" s="2" t="s">
        <v>26</v>
      </c>
      <c r="B22" s="28" t="str">
        <f>CONCATENATE($A$12,$B12)</f>
        <v>NC0_2</v>
      </c>
      <c r="C22" s="5"/>
      <c r="D22" s="5"/>
      <c r="E22" s="5"/>
      <c r="F22" s="29"/>
      <c r="G22" s="5"/>
      <c r="P22" s="30" t="s">
        <v>27</v>
      </c>
      <c r="T22" t="s">
        <v>28</v>
      </c>
    </row>
    <row r="23" spans="1:20" x14ac:dyDescent="0.35">
      <c r="B23" t="s">
        <v>29</v>
      </c>
      <c r="C23" s="11">
        <f>SUM(C$7:C$9)</f>
        <v>-1656.971524</v>
      </c>
      <c r="D23" s="11">
        <f>SUM(D$7:D$9)</f>
        <v>-1656.984663</v>
      </c>
      <c r="E23" s="11">
        <f>SUM(E$7:E$9)</f>
        <v>-1657.0241409999999</v>
      </c>
      <c r="F23" s="31">
        <f>SUM(F$7:F$9)</f>
        <v>-1657.024946</v>
      </c>
      <c r="G23" s="11">
        <f>SUM(G$7:G$9)</f>
        <v>-1657.0882180000001</v>
      </c>
    </row>
    <row r="24" spans="1:20" x14ac:dyDescent="0.35">
      <c r="B24" t="s">
        <v>30</v>
      </c>
      <c r="C24" s="11">
        <f>SUM(C$10,C12)</f>
        <v>-1656.9836380000002</v>
      </c>
      <c r="D24" s="11">
        <f>SUM(D$10,D12)</f>
        <v>-1656.9950369999999</v>
      </c>
      <c r="E24" s="11">
        <f>SUM(E$10,E12)</f>
        <v>-1657.029861</v>
      </c>
      <c r="F24" s="31">
        <f>SUM(F$10,F12)</f>
        <v>-1657.030577</v>
      </c>
      <c r="G24" s="11">
        <f>SUM(G$10,G12)</f>
        <v>-1657.0875310000001</v>
      </c>
    </row>
    <row r="25" spans="1:20" x14ac:dyDescent="0.35">
      <c r="B25" t="s">
        <v>31</v>
      </c>
      <c r="C25" s="11">
        <f>C24-C23</f>
        <v>-1.2114000000110536E-2</v>
      </c>
      <c r="D25" s="11">
        <f>D24-D23</f>
        <v>-1.0373999999956141E-2</v>
      </c>
      <c r="E25" s="11">
        <f>E24-E23</f>
        <v>-5.7200000001103035E-3</v>
      </c>
      <c r="F25" s="31">
        <f>F24-F23</f>
        <v>-5.6309999999939464E-3</v>
      </c>
      <c r="G25" s="11">
        <f>G24-G23</f>
        <v>6.8699999997079431E-4</v>
      </c>
    </row>
    <row r="26" spans="1:20" x14ac:dyDescent="0.35">
      <c r="A26" s="11"/>
      <c r="B26" t="s">
        <v>32</v>
      </c>
      <c r="E26">
        <f>E25*2600</f>
        <v>-14.872000000286789</v>
      </c>
    </row>
    <row r="28" spans="1:20" x14ac:dyDescent="0.35">
      <c r="B28" s="28" t="str">
        <f>CONCATENATE($A$12,$B13)</f>
        <v>NC0_3</v>
      </c>
      <c r="C28" s="5"/>
      <c r="D28" s="5"/>
      <c r="E28" s="5"/>
      <c r="F28" s="29"/>
      <c r="G28" s="5"/>
    </row>
    <row r="29" spans="1:20" x14ac:dyDescent="0.35">
      <c r="B29" t="s">
        <v>30</v>
      </c>
      <c r="C29" s="11">
        <f>SUM(C$10,C13)</f>
        <v>-1656.985359</v>
      </c>
      <c r="D29" s="11">
        <f>SUM(D$10,D13)</f>
        <v>-1656.9961929999999</v>
      </c>
      <c r="E29" s="11">
        <f>SUM(E$10,E13)</f>
        <v>-1657.0295189999999</v>
      </c>
      <c r="F29" s="31">
        <f>SUM(F$10,F13)</f>
        <v>-1657.0302060000001</v>
      </c>
      <c r="G29" s="11">
        <f>SUM(G$10,G13)</f>
        <v>-1657.0851250000001</v>
      </c>
    </row>
    <row r="30" spans="1:20" x14ac:dyDescent="0.35">
      <c r="B30" t="s">
        <v>31</v>
      </c>
      <c r="C30" s="11">
        <f>C29-C$23</f>
        <v>-1.3834999999971842E-2</v>
      </c>
      <c r="D30" s="11">
        <f>D29-D$23</f>
        <v>-1.1529999999993379E-2</v>
      </c>
      <c r="E30" s="11">
        <f>E29-E$23</f>
        <v>-5.3780000000642758E-3</v>
      </c>
      <c r="F30" s="31">
        <f>F29-F$23</f>
        <v>-5.2600000001348235E-3</v>
      </c>
      <c r="G30" s="11">
        <f>G29-G$23</f>
        <v>3.0930000000353175E-3</v>
      </c>
    </row>
    <row r="31" spans="1:20" x14ac:dyDescent="0.35">
      <c r="B31" t="s">
        <v>32</v>
      </c>
      <c r="E31">
        <f>E30*2600</f>
        <v>-13.982800000167117</v>
      </c>
    </row>
    <row r="33" spans="2:19" x14ac:dyDescent="0.35">
      <c r="B33" s="28" t="str">
        <f>CONCATENATE($A$12,$B14)</f>
        <v>NC0_6</v>
      </c>
      <c r="C33" s="5"/>
      <c r="D33" s="5"/>
      <c r="E33" s="5"/>
      <c r="F33" s="29"/>
      <c r="G33" s="5"/>
    </row>
    <row r="34" spans="2:19" x14ac:dyDescent="0.35">
      <c r="B34" t="s">
        <v>30</v>
      </c>
      <c r="C34" s="11">
        <f>SUM(C$10,C14)</f>
        <v>-1656.9894710000001</v>
      </c>
      <c r="D34" s="11">
        <f>SUM(D$10,D14)</f>
        <v>-1657.0007229999999</v>
      </c>
      <c r="E34" s="11">
        <f>SUM(E$10,E14)</f>
        <v>-1657.0350860000001</v>
      </c>
      <c r="F34" s="31">
        <f>SUM(F$10,F14)</f>
        <v>-1657.0358570000001</v>
      </c>
      <c r="G34" s="11">
        <f>SUM(G$10,G14)</f>
        <v>-1657.0921589999998</v>
      </c>
      <c r="S34" t="s">
        <v>33</v>
      </c>
    </row>
    <row r="35" spans="2:19" x14ac:dyDescent="0.35">
      <c r="B35" t="s">
        <v>31</v>
      </c>
      <c r="C35" s="11">
        <f>C34-C$23</f>
        <v>-1.7947000000049229E-2</v>
      </c>
      <c r="D35" s="11">
        <f>D34-D$23</f>
        <v>-1.6059999999924912E-2</v>
      </c>
      <c r="E35" s="11">
        <f>E34-E$23</f>
        <v>-1.0945000000219807E-2</v>
      </c>
      <c r="F35" s="31">
        <f>F34-F$23</f>
        <v>-1.0911000000078275E-2</v>
      </c>
      <c r="G35" s="11">
        <f>G34-G$23</f>
        <v>-3.9409999997133127E-3</v>
      </c>
      <c r="S35" t="s">
        <v>34</v>
      </c>
    </row>
    <row r="36" spans="2:19" x14ac:dyDescent="0.35">
      <c r="B36" t="s">
        <v>32</v>
      </c>
      <c r="E36">
        <f>E35*2600</f>
        <v>-28.457000000571497</v>
      </c>
      <c r="S36" t="s">
        <v>35</v>
      </c>
    </row>
    <row r="38" spans="2:19" x14ac:dyDescent="0.35">
      <c r="B38" s="28" t="str">
        <f>CONCATENATE($A$12,$B15)</f>
        <v>NC2_0</v>
      </c>
      <c r="C38" s="5"/>
      <c r="D38" s="5"/>
      <c r="E38" s="5"/>
      <c r="F38" s="29"/>
      <c r="G38" s="5"/>
    </row>
    <row r="39" spans="2:19" x14ac:dyDescent="0.35">
      <c r="B39" t="s">
        <v>30</v>
      </c>
      <c r="C39" s="11">
        <f>SUM(C$10,C$15)</f>
        <v>-1656.977022</v>
      </c>
      <c r="D39" s="11">
        <f>SUM(D$10,D$15)</f>
        <v>-1656.988251</v>
      </c>
      <c r="E39" s="11">
        <f>SUM(E$10,E$15)</f>
        <v>-1657.022694</v>
      </c>
      <c r="F39" s="31">
        <f>SUM(F$10,F$15)</f>
        <v>-1657.0234050000001</v>
      </c>
      <c r="G39" s="11">
        <f>SUM(G$10,G$15)</f>
        <v>-1657.0799259999999</v>
      </c>
    </row>
    <row r="40" spans="2:19" x14ac:dyDescent="0.35">
      <c r="B40" t="s">
        <v>31</v>
      </c>
      <c r="C40" s="11">
        <f>C39-C$23</f>
        <v>-5.4979999999886786E-3</v>
      </c>
      <c r="D40" s="11">
        <f>D39-D$23</f>
        <v>-3.5880000000361179E-3</v>
      </c>
      <c r="E40" s="11">
        <f>E39-E$23</f>
        <v>1.4469999998709682E-3</v>
      </c>
      <c r="F40" s="31">
        <f>F39-F$23</f>
        <v>1.5409999998610147E-3</v>
      </c>
      <c r="G40" s="11">
        <f>G39-G$23</f>
        <v>8.2920000002104643E-3</v>
      </c>
    </row>
    <row r="41" spans="2:19" x14ac:dyDescent="0.35">
      <c r="B41" t="s">
        <v>32</v>
      </c>
      <c r="E41">
        <f>E40*2600</f>
        <v>3.7621999996645172</v>
      </c>
    </row>
    <row r="43" spans="2:19" x14ac:dyDescent="0.35">
      <c r="B43" s="28" t="str">
        <f>CONCATENATE($A$12,$B17)</f>
        <v>NC3_0</v>
      </c>
      <c r="C43" s="5"/>
      <c r="D43" s="5"/>
      <c r="E43" s="5"/>
      <c r="F43" s="29"/>
      <c r="G43" s="5"/>
    </row>
    <row r="44" spans="2:19" x14ac:dyDescent="0.35">
      <c r="B44" t="s">
        <v>30</v>
      </c>
      <c r="C44" s="11">
        <f>SUM(C$10,C$17)</f>
        <v>-1656.977621</v>
      </c>
      <c r="D44" s="11">
        <f>SUM(D$10,D$17)</f>
        <v>-1656.9890700000001</v>
      </c>
      <c r="E44" s="11">
        <f>SUM(E$10,E$17)</f>
        <v>-1657.0240980000001</v>
      </c>
      <c r="F44" s="31">
        <f>SUM(F$10,F$17)</f>
        <v>-1657.0248190000002</v>
      </c>
      <c r="G44" s="11">
        <f>SUM(G$10,G$17)</f>
        <v>-1657.082132</v>
      </c>
    </row>
    <row r="45" spans="2:19" x14ac:dyDescent="0.35">
      <c r="B45" t="s">
        <v>31</v>
      </c>
      <c r="C45" s="11">
        <f>C44-C$23</f>
        <v>-6.0969999999542779E-3</v>
      </c>
      <c r="D45" s="11">
        <f>D44-D$23</f>
        <v>-4.4070000001283915E-3</v>
      </c>
      <c r="E45" s="11">
        <f>E44-E$23</f>
        <v>4.2999999777748599E-5</v>
      </c>
      <c r="F45" s="31">
        <f>F44-F$23</f>
        <v>1.2699999979304266E-4</v>
      </c>
      <c r="G45" s="11">
        <f>G44-G$23</f>
        <v>6.0860000000957371E-3</v>
      </c>
    </row>
    <row r="46" spans="2:19" x14ac:dyDescent="0.35">
      <c r="B46" t="s">
        <v>32</v>
      </c>
      <c r="E46">
        <f>E45*2600</f>
        <v>0.11179999942214636</v>
      </c>
    </row>
    <row r="47" spans="2:19" x14ac:dyDescent="0.35">
      <c r="L47" t="s">
        <v>36</v>
      </c>
    </row>
    <row r="48" spans="2:19" x14ac:dyDescent="0.35">
      <c r="B48" s="28" t="str">
        <f>CONCATENATE($A$12,$B18)</f>
        <v>NC6_0</v>
      </c>
      <c r="C48" s="5"/>
      <c r="D48" s="5"/>
      <c r="E48" s="5"/>
      <c r="F48" s="29"/>
      <c r="G48" s="5"/>
    </row>
    <row r="49" spans="1:19" x14ac:dyDescent="0.35">
      <c r="B49" t="s">
        <v>30</v>
      </c>
      <c r="C49" s="11">
        <f>SUM(C$10,C$18)</f>
        <v>-1656.9875310000002</v>
      </c>
      <c r="D49" s="11">
        <f>SUM(D$10,D$18)</f>
        <v>-1656.9988109999999</v>
      </c>
      <c r="E49" s="11">
        <f>SUM(E$10,E$18)</f>
        <v>-1657.033308</v>
      </c>
      <c r="F49" s="31">
        <f>SUM(F$10,F$18)</f>
        <v>-1657.0340180000001</v>
      </c>
      <c r="G49" s="11">
        <f>SUM(G$10,G$18)</f>
        <v>-1657.0905120000002</v>
      </c>
    </row>
    <row r="50" spans="1:19" x14ac:dyDescent="0.35">
      <c r="B50" t="s">
        <v>31</v>
      </c>
      <c r="C50" s="11">
        <f>C49-C$23</f>
        <v>-1.6007000000172411E-2</v>
      </c>
      <c r="D50" s="11">
        <f>D49-D$23</f>
        <v>-1.4147999999977401E-2</v>
      </c>
      <c r="E50" s="11">
        <f>E49-E$23</f>
        <v>-9.1670000001613516E-3</v>
      </c>
      <c r="F50" s="31">
        <f>F49-F$23</f>
        <v>-9.0720000000601431E-3</v>
      </c>
      <c r="G50" s="11">
        <f>G49-G$23</f>
        <v>-2.2940000001199223E-3</v>
      </c>
    </row>
    <row r="51" spans="1:19" x14ac:dyDescent="0.35">
      <c r="B51" t="s">
        <v>32</v>
      </c>
      <c r="E51">
        <f>E50*2600</f>
        <v>-23.834200000419514</v>
      </c>
    </row>
    <row r="56" spans="1:19" x14ac:dyDescent="0.35">
      <c r="A56" t="s">
        <v>206</v>
      </c>
    </row>
    <row r="57" spans="1:19" x14ac:dyDescent="0.35">
      <c r="A57" s="12" t="s">
        <v>17</v>
      </c>
      <c r="B57" s="24">
        <f>MIN(E12,E13,E14,E15,E17,E18)</f>
        <v>-1580.3597380000001</v>
      </c>
    </row>
    <row r="58" spans="1:19" x14ac:dyDescent="0.35">
      <c r="A58" t="s">
        <v>223</v>
      </c>
      <c r="B58" s="78">
        <f>MAX(E12,E13,E14,E15,E17,E18)-MIN(E12,E13,E14,E15,E17,E18)</f>
        <v>1.2392000000090775E-2</v>
      </c>
    </row>
    <row r="59" spans="1:19" x14ac:dyDescent="0.35">
      <c r="B59">
        <f>B58*2600</f>
        <v>32.219200000236015</v>
      </c>
      <c r="C59" t="s">
        <v>32</v>
      </c>
    </row>
    <row r="61" spans="1:19" x14ac:dyDescent="0.35">
      <c r="S61" t="s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4"/>
  <sheetViews>
    <sheetView topLeftCell="B1" zoomScale="87" zoomScaleNormal="85" workbookViewId="0">
      <selection activeCell="C37" sqref="C37"/>
    </sheetView>
  </sheetViews>
  <sheetFormatPr defaultRowHeight="14.5" x14ac:dyDescent="0.35"/>
  <cols>
    <col min="1" max="1" width="41.453125" bestFit="1" customWidth="1"/>
    <col min="2" max="2" width="12.7265625" bestFit="1" customWidth="1"/>
    <col min="3" max="3" width="17.453125" bestFit="1" customWidth="1"/>
    <col min="4" max="4" width="16.7265625" bestFit="1" customWidth="1"/>
    <col min="5" max="5" width="11.81640625" customWidth="1"/>
    <col min="6" max="6" width="16" customWidth="1"/>
    <col min="9" max="9" width="18.7265625" bestFit="1" customWidth="1"/>
    <col min="10" max="10" width="18" customWidth="1"/>
    <col min="11" max="11" width="13.7265625" bestFit="1" customWidth="1"/>
  </cols>
  <sheetData>
    <row r="1" spans="1:15" x14ac:dyDescent="0.35">
      <c r="A1" t="s">
        <v>146</v>
      </c>
    </row>
    <row r="2" spans="1:15" x14ac:dyDescent="0.35">
      <c r="A2" t="s">
        <v>140</v>
      </c>
    </row>
    <row r="3" spans="1:15" x14ac:dyDescent="0.35">
      <c r="A3" t="s">
        <v>39</v>
      </c>
      <c r="B3">
        <v>-1785.13737995</v>
      </c>
      <c r="C3" t="s">
        <v>145</v>
      </c>
      <c r="E3" t="s">
        <v>206</v>
      </c>
      <c r="L3" s="84" t="s">
        <v>112</v>
      </c>
      <c r="M3" s="84" t="s">
        <v>32</v>
      </c>
      <c r="N3" s="84" t="s">
        <v>326</v>
      </c>
      <c r="O3" s="84" t="s">
        <v>113</v>
      </c>
    </row>
    <row r="4" spans="1:15" x14ac:dyDescent="0.35">
      <c r="A4" t="s">
        <v>40</v>
      </c>
      <c r="B4">
        <v>0.43458000000000002</v>
      </c>
      <c r="C4" t="s">
        <v>59</v>
      </c>
      <c r="E4" t="s">
        <v>474</v>
      </c>
      <c r="F4" s="11">
        <f>MIN(K4:K16)</f>
        <v>-1784.7794610000001</v>
      </c>
      <c r="I4" t="s">
        <v>474</v>
      </c>
      <c r="J4" t="s">
        <v>485</v>
      </c>
      <c r="K4" s="11">
        <v>-1784.7794610000001</v>
      </c>
      <c r="L4" s="85">
        <f>K9-K4</f>
        <v>7.5560000000223226E-3</v>
      </c>
      <c r="M4" s="84">
        <f>L4*2600</f>
        <v>19.645600000058039</v>
      </c>
      <c r="N4" s="84">
        <f>L4*630</f>
        <v>4.7602800000140633</v>
      </c>
      <c r="O4" s="84">
        <f>L4*27</f>
        <v>0.20401200000060271</v>
      </c>
    </row>
    <row r="5" spans="1:15" x14ac:dyDescent="0.35">
      <c r="A5" t="s">
        <v>41</v>
      </c>
      <c r="B5">
        <v>0.466526</v>
      </c>
      <c r="E5" t="s">
        <v>223</v>
      </c>
      <c r="F5">
        <f>MAX(B11,B23,B35,B47,B59,B73,B84,B95)-MIN(B11,B23,B35,B47,B59,B73,B84,B95)</f>
        <v>1.048199999991084E-2</v>
      </c>
      <c r="I5" t="s">
        <v>486</v>
      </c>
      <c r="J5" t="s">
        <v>495</v>
      </c>
      <c r="K5" s="11">
        <v>-1784.7793999999999</v>
      </c>
    </row>
    <row r="6" spans="1:15" x14ac:dyDescent="0.35">
      <c r="A6" t="s">
        <v>42</v>
      </c>
      <c r="B6">
        <v>0.46747</v>
      </c>
      <c r="F6">
        <f>F5*2600</f>
        <v>27.253199999768185</v>
      </c>
      <c r="G6" t="s">
        <v>32</v>
      </c>
      <c r="I6" t="s">
        <v>496</v>
      </c>
      <c r="J6" t="s">
        <v>505</v>
      </c>
      <c r="K6" s="11">
        <v>-1784.7716800000001</v>
      </c>
    </row>
    <row r="7" spans="1:15" x14ac:dyDescent="0.35">
      <c r="A7" t="s">
        <v>43</v>
      </c>
      <c r="B7">
        <v>0.36712099999999998</v>
      </c>
      <c r="I7" t="s">
        <v>203</v>
      </c>
      <c r="J7" t="s">
        <v>243</v>
      </c>
      <c r="K7" s="11">
        <v>-1784.775365</v>
      </c>
    </row>
    <row r="8" spans="1:15" x14ac:dyDescent="0.35">
      <c r="A8" t="s">
        <v>44</v>
      </c>
      <c r="B8">
        <v>-1784.7028</v>
      </c>
      <c r="I8" t="s">
        <v>141</v>
      </c>
      <c r="J8" t="s">
        <v>239</v>
      </c>
      <c r="K8" s="11">
        <v>-1784.7687020000001</v>
      </c>
    </row>
    <row r="9" spans="1:15" x14ac:dyDescent="0.35">
      <c r="A9" t="s">
        <v>45</v>
      </c>
      <c r="B9">
        <v>-1784.670854</v>
      </c>
      <c r="I9" t="s">
        <v>142</v>
      </c>
      <c r="J9" t="s">
        <v>240</v>
      </c>
      <c r="K9" s="11">
        <v>-1784.7719050000001</v>
      </c>
    </row>
    <row r="10" spans="1:15" x14ac:dyDescent="0.35">
      <c r="A10" t="s">
        <v>46</v>
      </c>
      <c r="B10">
        <v>-1784.6699100000001</v>
      </c>
      <c r="I10" t="s">
        <v>506</v>
      </c>
      <c r="J10" t="s">
        <v>515</v>
      </c>
      <c r="K10" s="11">
        <v>-1784.772757</v>
      </c>
    </row>
    <row r="11" spans="1:15" x14ac:dyDescent="0.35">
      <c r="A11" t="s">
        <v>47</v>
      </c>
      <c r="B11">
        <v>-1784.7702589999999</v>
      </c>
      <c r="I11" t="s">
        <v>524</v>
      </c>
      <c r="J11" t="s">
        <v>71</v>
      </c>
      <c r="K11" s="11">
        <v>-1784.7744339999999</v>
      </c>
    </row>
    <row r="12" spans="1:15" x14ac:dyDescent="0.35">
      <c r="I12" t="s">
        <v>204</v>
      </c>
      <c r="J12" t="s">
        <v>244</v>
      </c>
      <c r="K12" s="11">
        <v>-1784.777368</v>
      </c>
    </row>
    <row r="13" spans="1:15" x14ac:dyDescent="0.35">
      <c r="I13" t="s">
        <v>143</v>
      </c>
      <c r="J13" t="s">
        <v>241</v>
      </c>
      <c r="K13" s="11">
        <v>-1784.7721389999999</v>
      </c>
    </row>
    <row r="14" spans="1:15" x14ac:dyDescent="0.35">
      <c r="A14" t="s">
        <v>141</v>
      </c>
      <c r="I14" t="s">
        <v>140</v>
      </c>
      <c r="J14" t="s">
        <v>238</v>
      </c>
      <c r="K14" s="11">
        <v>-1784.7702589999999</v>
      </c>
    </row>
    <row r="15" spans="1:15" x14ac:dyDescent="0.35">
      <c r="A15" t="s">
        <v>39</v>
      </c>
      <c r="B15">
        <v>-1785.1355865999999</v>
      </c>
      <c r="I15" t="s">
        <v>144</v>
      </c>
      <c r="J15" t="s">
        <v>242</v>
      </c>
      <c r="K15" s="11">
        <v>-1784.774958</v>
      </c>
    </row>
    <row r="16" spans="1:15" x14ac:dyDescent="0.35">
      <c r="A16" t="s">
        <v>40</v>
      </c>
      <c r="B16">
        <v>0.43437399999999998</v>
      </c>
      <c r="I16" t="s">
        <v>205</v>
      </c>
      <c r="J16" t="s">
        <v>245</v>
      </c>
      <c r="K16" s="11">
        <v>-1784.779184</v>
      </c>
    </row>
    <row r="17" spans="1:4" x14ac:dyDescent="0.35">
      <c r="A17" t="s">
        <v>41</v>
      </c>
      <c r="B17">
        <v>0.46654200000000001</v>
      </c>
    </row>
    <row r="18" spans="1:4" x14ac:dyDescent="0.35">
      <c r="A18" t="s">
        <v>42</v>
      </c>
      <c r="B18">
        <v>0.46748699999999999</v>
      </c>
    </row>
    <row r="19" spans="1:4" x14ac:dyDescent="0.35">
      <c r="A19" t="s">
        <v>43</v>
      </c>
      <c r="B19">
        <v>0.36688500000000002</v>
      </c>
    </row>
    <row r="20" spans="1:4" x14ac:dyDescent="0.35">
      <c r="A20" t="s">
        <v>44</v>
      </c>
      <c r="B20">
        <v>-1784.7012130000001</v>
      </c>
    </row>
    <row r="21" spans="1:4" x14ac:dyDescent="0.35">
      <c r="A21" t="s">
        <v>45</v>
      </c>
      <c r="B21">
        <v>-1784.669044</v>
      </c>
    </row>
    <row r="22" spans="1:4" x14ac:dyDescent="0.35">
      <c r="A22" t="s">
        <v>46</v>
      </c>
      <c r="B22">
        <v>-1784.6681000000001</v>
      </c>
    </row>
    <row r="23" spans="1:4" x14ac:dyDescent="0.35">
      <c r="A23" t="s">
        <v>47</v>
      </c>
      <c r="B23">
        <v>-1784.7687020000001</v>
      </c>
      <c r="C23" t="s">
        <v>227</v>
      </c>
      <c r="D23" t="s">
        <v>228</v>
      </c>
    </row>
    <row r="26" spans="1:4" x14ac:dyDescent="0.35">
      <c r="A26" t="s">
        <v>142</v>
      </c>
    </row>
    <row r="27" spans="1:4" x14ac:dyDescent="0.35">
      <c r="A27" t="s">
        <v>39</v>
      </c>
      <c r="B27">
        <v>-1785.14097126</v>
      </c>
    </row>
    <row r="28" spans="1:4" x14ac:dyDescent="0.35">
      <c r="A28" t="s">
        <v>40</v>
      </c>
      <c r="B28">
        <v>0.43519400000000003</v>
      </c>
    </row>
    <row r="29" spans="1:4" x14ac:dyDescent="0.35">
      <c r="A29" t="s">
        <v>41</v>
      </c>
      <c r="B29">
        <v>0.46689999999999998</v>
      </c>
    </row>
    <row r="30" spans="1:4" x14ac:dyDescent="0.35">
      <c r="A30" t="s">
        <v>42</v>
      </c>
      <c r="B30">
        <v>0.46784399999999998</v>
      </c>
    </row>
    <row r="31" spans="1:4" x14ac:dyDescent="0.35">
      <c r="A31" t="s">
        <v>43</v>
      </c>
      <c r="B31">
        <v>0.36906600000000001</v>
      </c>
    </row>
    <row r="32" spans="1:4" x14ac:dyDescent="0.35">
      <c r="A32" t="s">
        <v>44</v>
      </c>
      <c r="B32">
        <v>-1784.7057769999999</v>
      </c>
    </row>
    <row r="33" spans="1:8" x14ac:dyDescent="0.35">
      <c r="A33" t="s">
        <v>45</v>
      </c>
      <c r="B33">
        <v>-1784.6740709999999</v>
      </c>
    </row>
    <row r="34" spans="1:8" x14ac:dyDescent="0.35">
      <c r="A34" t="s">
        <v>46</v>
      </c>
      <c r="B34">
        <v>-1784.673127</v>
      </c>
    </row>
    <row r="35" spans="1:8" x14ac:dyDescent="0.35">
      <c r="A35" t="s">
        <v>47</v>
      </c>
      <c r="B35">
        <v>-1784.7719050000001</v>
      </c>
    </row>
    <row r="36" spans="1:8" x14ac:dyDescent="0.35"/>
    <row r="38" spans="1:8" x14ac:dyDescent="0.35">
      <c r="A38" t="s">
        <v>143</v>
      </c>
    </row>
    <row r="39" spans="1:8" x14ac:dyDescent="0.35">
      <c r="A39" t="s">
        <v>39</v>
      </c>
      <c r="B39">
        <v>-1785.1398051199999</v>
      </c>
    </row>
    <row r="40" spans="1:8" x14ac:dyDescent="0.35">
      <c r="A40" t="s">
        <v>40</v>
      </c>
      <c r="B40">
        <v>0.43498999999999999</v>
      </c>
    </row>
    <row r="41" spans="1:8" x14ac:dyDescent="0.35">
      <c r="A41" t="s">
        <v>41</v>
      </c>
      <c r="B41">
        <v>0.46684399999999998</v>
      </c>
    </row>
    <row r="42" spans="1:8" x14ac:dyDescent="0.35">
      <c r="A42" t="s">
        <v>42</v>
      </c>
      <c r="B42">
        <v>0.46778799999999998</v>
      </c>
    </row>
    <row r="43" spans="1:8" x14ac:dyDescent="0.35">
      <c r="A43" t="s">
        <v>43</v>
      </c>
      <c r="B43">
        <v>0.36766599999999999</v>
      </c>
    </row>
    <row r="44" spans="1:8" x14ac:dyDescent="0.35">
      <c r="A44" t="s">
        <v>44</v>
      </c>
      <c r="B44">
        <v>-1784.7048150000001</v>
      </c>
    </row>
    <row r="45" spans="1:8" x14ac:dyDescent="0.35">
      <c r="A45" t="s">
        <v>45</v>
      </c>
      <c r="B45">
        <v>-1784.672961</v>
      </c>
    </row>
    <row r="46" spans="1:8" x14ac:dyDescent="0.35">
      <c r="A46" t="s">
        <v>46</v>
      </c>
      <c r="B46">
        <v>-1784.6720170000001</v>
      </c>
    </row>
    <row r="47" spans="1:8" x14ac:dyDescent="0.35">
      <c r="A47" t="s">
        <v>47</v>
      </c>
      <c r="B47">
        <v>-1784.7721389999999</v>
      </c>
    </row>
    <row r="50" spans="1:2" x14ac:dyDescent="0.35">
      <c r="A50" t="s">
        <v>144</v>
      </c>
    </row>
    <row r="51" spans="1:2" x14ac:dyDescent="0.35">
      <c r="A51" t="s">
        <v>39</v>
      </c>
      <c r="B51">
        <v>-1785.1444620699999</v>
      </c>
    </row>
    <row r="52" spans="1:2" x14ac:dyDescent="0.35">
      <c r="A52" t="s">
        <v>40</v>
      </c>
      <c r="B52">
        <v>0.435251</v>
      </c>
    </row>
    <row r="53" spans="1:2" x14ac:dyDescent="0.35">
      <c r="A53" t="s">
        <v>41</v>
      </c>
      <c r="B53">
        <v>0.46675100000000003</v>
      </c>
    </row>
    <row r="54" spans="1:2" x14ac:dyDescent="0.35">
      <c r="A54" t="s">
        <v>42</v>
      </c>
      <c r="B54">
        <v>0.46769500000000003</v>
      </c>
    </row>
    <row r="55" spans="1:2" x14ac:dyDescent="0.35">
      <c r="A55" t="s">
        <v>43</v>
      </c>
      <c r="B55">
        <v>0.369504</v>
      </c>
    </row>
    <row r="56" spans="1:2" x14ac:dyDescent="0.35">
      <c r="A56" t="s">
        <v>44</v>
      </c>
      <c r="B56">
        <v>-1784.7092110000001</v>
      </c>
    </row>
    <row r="57" spans="1:2" x14ac:dyDescent="0.35">
      <c r="A57" t="s">
        <v>45</v>
      </c>
      <c r="B57">
        <v>-1784.677711</v>
      </c>
    </row>
    <row r="58" spans="1:2" x14ac:dyDescent="0.35">
      <c r="A58" t="s">
        <v>46</v>
      </c>
      <c r="B58">
        <v>-1784.6767669999999</v>
      </c>
    </row>
    <row r="59" spans="1:2" x14ac:dyDescent="0.35">
      <c r="A59" t="s">
        <v>47</v>
      </c>
      <c r="B59">
        <v>-1784.774958</v>
      </c>
    </row>
    <row r="61" spans="1:2" x14ac:dyDescent="0.35">
      <c r="A61" t="s">
        <v>147</v>
      </c>
    </row>
    <row r="62" spans="1:2" x14ac:dyDescent="0.35">
      <c r="A62" t="s">
        <v>202</v>
      </c>
    </row>
    <row r="64" spans="1:2" x14ac:dyDescent="0.35">
      <c r="A64" t="s">
        <v>203</v>
      </c>
    </row>
    <row r="65" spans="1:6" x14ac:dyDescent="0.35">
      <c r="A65" t="s">
        <v>39</v>
      </c>
      <c r="B65">
        <v>-1785.14515407</v>
      </c>
      <c r="C65" t="s">
        <v>159</v>
      </c>
      <c r="D65" t="s">
        <v>160</v>
      </c>
      <c r="E65">
        <v>1</v>
      </c>
      <c r="F65" t="s">
        <v>161</v>
      </c>
    </row>
    <row r="66" spans="1:6" x14ac:dyDescent="0.35">
      <c r="A66" t="s">
        <v>40</v>
      </c>
      <c r="B66">
        <v>0.43586599999999998</v>
      </c>
      <c r="C66" t="s">
        <v>57</v>
      </c>
    </row>
    <row r="67" spans="1:6" x14ac:dyDescent="0.35">
      <c r="A67" t="s">
        <v>41</v>
      </c>
      <c r="B67">
        <v>0.46726400000000001</v>
      </c>
    </row>
    <row r="68" spans="1:6" x14ac:dyDescent="0.35">
      <c r="A68" t="s">
        <v>42</v>
      </c>
      <c r="B68">
        <v>0.46820800000000001</v>
      </c>
    </row>
    <row r="69" spans="1:6" x14ac:dyDescent="0.35">
      <c r="A69" t="s">
        <v>43</v>
      </c>
      <c r="B69">
        <v>0.36978899999999998</v>
      </c>
    </row>
    <row r="70" spans="1:6" x14ac:dyDescent="0.35">
      <c r="A70" t="s">
        <v>44</v>
      </c>
      <c r="B70">
        <v>-1784.709288</v>
      </c>
    </row>
    <row r="71" spans="1:6" x14ac:dyDescent="0.35">
      <c r="A71" t="s">
        <v>45</v>
      </c>
      <c r="B71">
        <v>-1784.6778899999999</v>
      </c>
    </row>
    <row r="72" spans="1:6" x14ac:dyDescent="0.35">
      <c r="A72" t="s">
        <v>46</v>
      </c>
      <c r="B72">
        <v>-1784.676946</v>
      </c>
    </row>
    <row r="73" spans="1:6" x14ac:dyDescent="0.35">
      <c r="A73" t="s">
        <v>47</v>
      </c>
      <c r="B73">
        <v>-1784.775365</v>
      </c>
    </row>
    <row r="75" spans="1:6" x14ac:dyDescent="0.35">
      <c r="A75" t="s">
        <v>204</v>
      </c>
    </row>
    <row r="76" spans="1:6" x14ac:dyDescent="0.35">
      <c r="A76" t="s">
        <v>39</v>
      </c>
      <c r="B76">
        <v>-1785.14528617</v>
      </c>
      <c r="C76" t="s">
        <v>159</v>
      </c>
      <c r="D76" t="s">
        <v>160</v>
      </c>
      <c r="E76">
        <v>1</v>
      </c>
      <c r="F76" t="s">
        <v>161</v>
      </c>
    </row>
    <row r="77" spans="1:6" x14ac:dyDescent="0.35">
      <c r="A77" t="s">
        <v>40</v>
      </c>
      <c r="B77">
        <v>0.43507499999999999</v>
      </c>
      <c r="C77" t="s">
        <v>57</v>
      </c>
    </row>
    <row r="78" spans="1:6" x14ac:dyDescent="0.35">
      <c r="A78" t="s">
        <v>41</v>
      </c>
      <c r="B78">
        <v>0.46668999999999999</v>
      </c>
    </row>
    <row r="79" spans="1:6" x14ac:dyDescent="0.35">
      <c r="A79" t="s">
        <v>42</v>
      </c>
      <c r="B79">
        <v>0.46763399999999999</v>
      </c>
    </row>
    <row r="80" spans="1:6" x14ac:dyDescent="0.35">
      <c r="A80" t="s">
        <v>43</v>
      </c>
      <c r="B80">
        <v>0.36791800000000002</v>
      </c>
    </row>
    <row r="81" spans="1:6" x14ac:dyDescent="0.35">
      <c r="A81" t="s">
        <v>44</v>
      </c>
      <c r="B81">
        <v>-1784.7102110000001</v>
      </c>
    </row>
    <row r="82" spans="1:6" x14ac:dyDescent="0.35">
      <c r="A82" t="s">
        <v>45</v>
      </c>
      <c r="B82">
        <v>-1784.678596</v>
      </c>
    </row>
    <row r="83" spans="1:6" x14ac:dyDescent="0.35">
      <c r="A83" t="s">
        <v>46</v>
      </c>
      <c r="B83">
        <v>-1784.6776520000001</v>
      </c>
    </row>
    <row r="84" spans="1:6" x14ac:dyDescent="0.35">
      <c r="A84" t="s">
        <v>47</v>
      </c>
      <c r="B84">
        <v>-1784.777368</v>
      </c>
    </row>
    <row r="86" spans="1:6" x14ac:dyDescent="0.35">
      <c r="A86" t="s">
        <v>205</v>
      </c>
    </row>
    <row r="87" spans="1:6" x14ac:dyDescent="0.35">
      <c r="A87" t="s">
        <v>39</v>
      </c>
      <c r="B87">
        <v>-1785.1484934299999</v>
      </c>
      <c r="C87" t="s">
        <v>159</v>
      </c>
      <c r="D87" t="s">
        <v>160</v>
      </c>
      <c r="E87">
        <v>1</v>
      </c>
      <c r="F87" t="s">
        <v>161</v>
      </c>
    </row>
    <row r="88" spans="1:6" x14ac:dyDescent="0.35">
      <c r="A88" t="s">
        <v>40</v>
      </c>
      <c r="B88">
        <v>0.43552999999999997</v>
      </c>
      <c r="C88" t="s">
        <v>57</v>
      </c>
    </row>
    <row r="89" spans="1:6" x14ac:dyDescent="0.35">
      <c r="A89" t="s">
        <v>41</v>
      </c>
      <c r="B89">
        <v>0.46693499999999999</v>
      </c>
    </row>
    <row r="90" spans="1:6" x14ac:dyDescent="0.35">
      <c r="A90" t="s">
        <v>42</v>
      </c>
      <c r="B90">
        <v>0.46788000000000002</v>
      </c>
    </row>
    <row r="91" spans="1:6" x14ac:dyDescent="0.35">
      <c r="A91" t="s">
        <v>43</v>
      </c>
      <c r="B91">
        <v>0.36931000000000003</v>
      </c>
    </row>
    <row r="92" spans="1:6" x14ac:dyDescent="0.35">
      <c r="A92" t="s">
        <v>44</v>
      </c>
      <c r="B92">
        <v>-1784.7129640000001</v>
      </c>
    </row>
    <row r="93" spans="1:6" x14ac:dyDescent="0.35">
      <c r="A93" t="s">
        <v>45</v>
      </c>
      <c r="B93">
        <v>-1784.681558</v>
      </c>
    </row>
    <row r="94" spans="1:6" x14ac:dyDescent="0.35">
      <c r="A94" t="s">
        <v>46</v>
      </c>
      <c r="B94">
        <v>-1784.6806140000001</v>
      </c>
    </row>
    <row r="95" spans="1:6" x14ac:dyDescent="0.35">
      <c r="A95" t="s">
        <v>47</v>
      </c>
      <c r="B95">
        <v>-1784.779184</v>
      </c>
    </row>
    <row r="98" spans="1:2" x14ac:dyDescent="0.35">
      <c r="A98" t="s">
        <v>484</v>
      </c>
    </row>
    <row r="99" spans="1:2" x14ac:dyDescent="0.35">
      <c r="A99" t="s">
        <v>474</v>
      </c>
    </row>
    <row r="100" spans="1:2" x14ac:dyDescent="0.35">
      <c r="A100" t="s">
        <v>475</v>
      </c>
    </row>
    <row r="101" spans="1:2" x14ac:dyDescent="0.35">
      <c r="A101" t="s">
        <v>476</v>
      </c>
    </row>
    <row r="102" spans="1:2" x14ac:dyDescent="0.35">
      <c r="A102" t="s">
        <v>477</v>
      </c>
    </row>
    <row r="103" spans="1:2" x14ac:dyDescent="0.35">
      <c r="A103" t="s">
        <v>478</v>
      </c>
    </row>
    <row r="104" spans="1:2" x14ac:dyDescent="0.35">
      <c r="A104" t="s">
        <v>479</v>
      </c>
    </row>
    <row r="105" spans="1:2" x14ac:dyDescent="0.35">
      <c r="A105" t="s">
        <v>480</v>
      </c>
    </row>
    <row r="106" spans="1:2" x14ac:dyDescent="0.35">
      <c r="A106" t="s">
        <v>481</v>
      </c>
    </row>
    <row r="107" spans="1:2" x14ac:dyDescent="0.35">
      <c r="A107" t="s">
        <v>482</v>
      </c>
    </row>
    <row r="108" spans="1:2" x14ac:dyDescent="0.35">
      <c r="A108" t="s">
        <v>483</v>
      </c>
      <c r="B108">
        <v>-1784.7794610000001</v>
      </c>
    </row>
    <row r="110" spans="1:2" x14ac:dyDescent="0.35">
      <c r="A110" t="s">
        <v>486</v>
      </c>
    </row>
    <row r="111" spans="1:2" x14ac:dyDescent="0.35">
      <c r="A111" t="s">
        <v>487</v>
      </c>
    </row>
    <row r="112" spans="1:2" x14ac:dyDescent="0.35">
      <c r="A112" t="s">
        <v>488</v>
      </c>
    </row>
    <row r="113" spans="1:2" x14ac:dyDescent="0.35">
      <c r="A113" t="s">
        <v>489</v>
      </c>
    </row>
    <row r="114" spans="1:2" x14ac:dyDescent="0.35">
      <c r="A114" t="s">
        <v>490</v>
      </c>
    </row>
    <row r="115" spans="1:2" x14ac:dyDescent="0.35">
      <c r="A115" t="s">
        <v>491</v>
      </c>
    </row>
    <row r="116" spans="1:2" x14ac:dyDescent="0.35">
      <c r="A116" t="s">
        <v>492</v>
      </c>
    </row>
    <row r="117" spans="1:2" x14ac:dyDescent="0.35">
      <c r="A117" t="s">
        <v>493</v>
      </c>
    </row>
    <row r="118" spans="1:2" x14ac:dyDescent="0.35">
      <c r="A118" t="s">
        <v>494</v>
      </c>
    </row>
    <row r="119" spans="1:2" x14ac:dyDescent="0.35">
      <c r="A119" t="s">
        <v>370</v>
      </c>
      <c r="B119">
        <v>-1784.7793999999999</v>
      </c>
    </row>
    <row r="121" spans="1:2" x14ac:dyDescent="0.35">
      <c r="A121" t="s">
        <v>496</v>
      </c>
    </row>
    <row r="122" spans="1:2" x14ac:dyDescent="0.35">
      <c r="A122" t="s">
        <v>497</v>
      </c>
    </row>
    <row r="123" spans="1:2" x14ac:dyDescent="0.35">
      <c r="A123" t="s">
        <v>498</v>
      </c>
    </row>
    <row r="124" spans="1:2" x14ac:dyDescent="0.35">
      <c r="A124" t="s">
        <v>499</v>
      </c>
    </row>
    <row r="125" spans="1:2" x14ac:dyDescent="0.35">
      <c r="A125" t="s">
        <v>500</v>
      </c>
    </row>
    <row r="126" spans="1:2" x14ac:dyDescent="0.35">
      <c r="A126" t="s">
        <v>501</v>
      </c>
    </row>
    <row r="127" spans="1:2" x14ac:dyDescent="0.35">
      <c r="A127" t="s">
        <v>502</v>
      </c>
    </row>
    <row r="128" spans="1:2" x14ac:dyDescent="0.35">
      <c r="A128" t="s">
        <v>503</v>
      </c>
    </row>
    <row r="129" spans="1:2" x14ac:dyDescent="0.35">
      <c r="A129" t="s">
        <v>504</v>
      </c>
    </row>
    <row r="130" spans="1:2" x14ac:dyDescent="0.35">
      <c r="A130" t="s">
        <v>472</v>
      </c>
      <c r="B130">
        <v>-1784.7716800000001</v>
      </c>
    </row>
    <row r="133" spans="1:2" x14ac:dyDescent="0.35">
      <c r="A133" t="s">
        <v>506</v>
      </c>
    </row>
    <row r="134" spans="1:2" x14ac:dyDescent="0.35">
      <c r="A134" t="s">
        <v>507</v>
      </c>
    </row>
    <row r="135" spans="1:2" x14ac:dyDescent="0.35">
      <c r="A135" t="s">
        <v>508</v>
      </c>
    </row>
    <row r="136" spans="1:2" x14ac:dyDescent="0.35">
      <c r="A136" t="s">
        <v>509</v>
      </c>
    </row>
    <row r="137" spans="1:2" x14ac:dyDescent="0.35">
      <c r="A137" t="s">
        <v>510</v>
      </c>
    </row>
    <row r="138" spans="1:2" x14ac:dyDescent="0.35">
      <c r="A138" t="s">
        <v>511</v>
      </c>
    </row>
    <row r="139" spans="1:2" x14ac:dyDescent="0.35">
      <c r="A139" t="s">
        <v>512</v>
      </c>
    </row>
    <row r="140" spans="1:2" x14ac:dyDescent="0.35">
      <c r="A140" t="s">
        <v>513</v>
      </c>
    </row>
    <row r="141" spans="1:2" x14ac:dyDescent="0.35">
      <c r="A141" t="s">
        <v>514</v>
      </c>
    </row>
    <row r="142" spans="1:2" x14ac:dyDescent="0.35">
      <c r="A142" t="s">
        <v>356</v>
      </c>
      <c r="B142">
        <v>-1784.772757</v>
      </c>
    </row>
    <row r="145" spans="1:2" x14ac:dyDescent="0.35">
      <c r="A145" t="s">
        <v>524</v>
      </c>
    </row>
    <row r="146" spans="1:2" x14ac:dyDescent="0.35">
      <c r="A146" t="s">
        <v>516</v>
      </c>
    </row>
    <row r="147" spans="1:2" x14ac:dyDescent="0.35">
      <c r="A147" t="s">
        <v>517</v>
      </c>
    </row>
    <row r="148" spans="1:2" x14ac:dyDescent="0.35">
      <c r="A148" t="s">
        <v>518</v>
      </c>
    </row>
    <row r="149" spans="1:2" x14ac:dyDescent="0.35">
      <c r="A149" t="s">
        <v>519</v>
      </c>
    </row>
    <row r="150" spans="1:2" x14ac:dyDescent="0.35">
      <c r="A150" t="s">
        <v>520</v>
      </c>
    </row>
    <row r="151" spans="1:2" x14ac:dyDescent="0.35">
      <c r="A151" t="s">
        <v>521</v>
      </c>
    </row>
    <row r="152" spans="1:2" x14ac:dyDescent="0.35">
      <c r="A152" t="s">
        <v>522</v>
      </c>
    </row>
    <row r="153" spans="1:2" x14ac:dyDescent="0.35">
      <c r="A153" t="s">
        <v>523</v>
      </c>
    </row>
    <row r="154" spans="1:2" x14ac:dyDescent="0.35">
      <c r="A154" t="s">
        <v>370</v>
      </c>
      <c r="B154">
        <v>-1784.7744339999999</v>
      </c>
    </row>
  </sheetData>
  <sortState ref="I4:K16">
    <sortCondition ref="J4:J16"/>
  </sortState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0"/>
  <sheetViews>
    <sheetView topLeftCell="C13" workbookViewId="0">
      <selection activeCell="F3" sqref="F3"/>
    </sheetView>
  </sheetViews>
  <sheetFormatPr defaultRowHeight="14.5" x14ac:dyDescent="0.35"/>
  <cols>
    <col min="1" max="1" width="41.453125" bestFit="1" customWidth="1"/>
    <col min="2" max="2" width="23.81640625" customWidth="1"/>
    <col min="7" max="7" width="14.7265625" customWidth="1"/>
    <col min="8" max="8" width="16.54296875" customWidth="1"/>
    <col min="9" max="9" width="11.26953125" bestFit="1" customWidth="1"/>
  </cols>
  <sheetData>
    <row r="1" spans="1:9" s="2" customFormat="1" x14ac:dyDescent="0.35">
      <c r="A1" s="2" t="s">
        <v>148</v>
      </c>
    </row>
    <row r="2" spans="1:9" x14ac:dyDescent="0.35">
      <c r="F2" t="s">
        <v>206</v>
      </c>
    </row>
    <row r="3" spans="1:9" x14ac:dyDescent="0.35">
      <c r="A3" t="s">
        <v>149</v>
      </c>
      <c r="F3" t="s">
        <v>186</v>
      </c>
      <c r="G3" s="11">
        <f>MIN(I12:I30)</f>
        <v>-1989.1985299999999</v>
      </c>
    </row>
    <row r="4" spans="1:9" x14ac:dyDescent="0.35">
      <c r="A4" t="s">
        <v>39</v>
      </c>
      <c r="B4">
        <v>-1989.54927509</v>
      </c>
      <c r="F4" t="s">
        <v>223</v>
      </c>
      <c r="G4">
        <f>MAX(B107,B119,B130,B95,B84,B72,B61,B50,B36,B24,B12)-MIN(B107,B119,B130,B95,B84,B72,B61,B50,B36,B24,B12)</f>
        <v>1.3205999999854612E-2</v>
      </c>
      <c r="H4" t="s">
        <v>229</v>
      </c>
    </row>
    <row r="5" spans="1:9" x14ac:dyDescent="0.35">
      <c r="A5" t="s">
        <v>40</v>
      </c>
      <c r="B5">
        <v>0.43643700000000002</v>
      </c>
      <c r="G5">
        <f>G4*2600</f>
        <v>34.335599999621991</v>
      </c>
      <c r="H5" t="s">
        <v>32</v>
      </c>
    </row>
    <row r="6" spans="1:9" x14ac:dyDescent="0.35">
      <c r="A6" t="s">
        <v>41</v>
      </c>
      <c r="B6">
        <v>0.47121299999999999</v>
      </c>
    </row>
    <row r="7" spans="1:9" x14ac:dyDescent="0.35">
      <c r="A7" t="s">
        <v>42</v>
      </c>
      <c r="B7">
        <v>0.47215699999999999</v>
      </c>
    </row>
    <row r="8" spans="1:9" x14ac:dyDescent="0.35">
      <c r="A8" t="s">
        <v>43</v>
      </c>
      <c r="B8">
        <v>0.36395100000000002</v>
      </c>
    </row>
    <row r="9" spans="1:9" x14ac:dyDescent="0.35">
      <c r="A9" t="s">
        <v>44</v>
      </c>
      <c r="B9">
        <v>-1989.112838</v>
      </c>
    </row>
    <row r="10" spans="1:9" x14ac:dyDescent="0.35">
      <c r="A10" t="s">
        <v>45</v>
      </c>
      <c r="B10">
        <v>-1989.078062</v>
      </c>
    </row>
    <row r="11" spans="1:9" x14ac:dyDescent="0.35">
      <c r="A11" t="s">
        <v>46</v>
      </c>
      <c r="B11">
        <v>-1989.0771179999999</v>
      </c>
    </row>
    <row r="12" spans="1:9" x14ac:dyDescent="0.35">
      <c r="A12" t="s">
        <v>47</v>
      </c>
      <c r="B12">
        <v>-1989.185324</v>
      </c>
      <c r="C12" t="s">
        <v>227</v>
      </c>
      <c r="G12" t="s">
        <v>177</v>
      </c>
      <c r="H12" t="s">
        <v>249</v>
      </c>
      <c r="I12" s="11">
        <v>-1989.1967030000001</v>
      </c>
    </row>
    <row r="13" spans="1:9" x14ac:dyDescent="0.35">
      <c r="G13" t="s">
        <v>389</v>
      </c>
      <c r="H13" t="s">
        <v>399</v>
      </c>
      <c r="I13" s="11">
        <v>-1989.187887</v>
      </c>
    </row>
    <row r="14" spans="1:9" x14ac:dyDescent="0.35">
      <c r="G14" t="s">
        <v>181</v>
      </c>
      <c r="H14" t="s">
        <v>252</v>
      </c>
      <c r="I14" s="11">
        <v>-1989.195518</v>
      </c>
    </row>
    <row r="15" spans="1:9" x14ac:dyDescent="0.35">
      <c r="A15" t="s">
        <v>150</v>
      </c>
      <c r="G15" t="s">
        <v>179</v>
      </c>
      <c r="H15" t="s">
        <v>250</v>
      </c>
      <c r="I15" s="11">
        <v>-1989.196899</v>
      </c>
    </row>
    <row r="16" spans="1:9" x14ac:dyDescent="0.35">
      <c r="A16" t="s">
        <v>39</v>
      </c>
      <c r="B16">
        <v>-1989.5568419199999</v>
      </c>
      <c r="G16" t="s">
        <v>149</v>
      </c>
      <c r="H16" t="s">
        <v>246</v>
      </c>
      <c r="I16" s="11">
        <v>-1989.185324</v>
      </c>
    </row>
    <row r="17" spans="1:9" x14ac:dyDescent="0.35">
      <c r="A17" t="s">
        <v>40</v>
      </c>
      <c r="B17">
        <v>0.43689800000000001</v>
      </c>
      <c r="G17" t="s">
        <v>400</v>
      </c>
      <c r="H17" t="s">
        <v>410</v>
      </c>
      <c r="I17" s="11">
        <v>-1989.1909330000001</v>
      </c>
    </row>
    <row r="18" spans="1:9" x14ac:dyDescent="0.35">
      <c r="A18" t="s">
        <v>41</v>
      </c>
      <c r="B18">
        <v>0.47128799999999998</v>
      </c>
      <c r="G18" t="s">
        <v>411</v>
      </c>
      <c r="H18" t="s">
        <v>422</v>
      </c>
      <c r="I18" s="11">
        <v>-1989.1920250000001</v>
      </c>
    </row>
    <row r="19" spans="1:9" x14ac:dyDescent="0.35">
      <c r="A19" t="s">
        <v>42</v>
      </c>
      <c r="B19">
        <v>0.47223199999999999</v>
      </c>
      <c r="G19" t="s">
        <v>150</v>
      </c>
      <c r="H19" t="s">
        <v>247</v>
      </c>
      <c r="I19" s="11">
        <v>-1989.192444</v>
      </c>
    </row>
    <row r="20" spans="1:9" x14ac:dyDescent="0.35">
      <c r="A20" t="s">
        <v>43</v>
      </c>
      <c r="B20">
        <v>0.364398</v>
      </c>
      <c r="G20" t="s">
        <v>564</v>
      </c>
      <c r="H20" t="s">
        <v>574</v>
      </c>
      <c r="I20" s="11">
        <v>-1989.1915670000001</v>
      </c>
    </row>
    <row r="21" spans="1:9" x14ac:dyDescent="0.35">
      <c r="A21" t="s">
        <v>44</v>
      </c>
      <c r="B21">
        <v>-1989.119944</v>
      </c>
      <c r="G21" t="s">
        <v>185</v>
      </c>
      <c r="H21" t="s">
        <v>470</v>
      </c>
      <c r="I21" s="11">
        <v>-1989.198333</v>
      </c>
    </row>
    <row r="22" spans="1:9" x14ac:dyDescent="0.35">
      <c r="A22" t="s">
        <v>45</v>
      </c>
      <c r="B22">
        <v>-1989.085554</v>
      </c>
      <c r="G22" t="s">
        <v>423</v>
      </c>
      <c r="H22" t="s">
        <v>432</v>
      </c>
      <c r="I22" s="11">
        <v>-1989.18903</v>
      </c>
    </row>
    <row r="23" spans="1:9" x14ac:dyDescent="0.35">
      <c r="A23" t="s">
        <v>46</v>
      </c>
      <c r="B23">
        <v>-1989.0846100000001</v>
      </c>
      <c r="G23" t="s">
        <v>433</v>
      </c>
      <c r="H23" t="s">
        <v>442</v>
      </c>
      <c r="I23" s="11">
        <v>-1989.196702</v>
      </c>
    </row>
    <row r="24" spans="1:9" x14ac:dyDescent="0.35">
      <c r="A24" t="s">
        <v>47</v>
      </c>
      <c r="B24">
        <v>-1989.192444</v>
      </c>
      <c r="G24" t="s">
        <v>182</v>
      </c>
      <c r="H24" t="s">
        <v>253</v>
      </c>
      <c r="I24" s="11">
        <v>-1989.1954599999999</v>
      </c>
    </row>
    <row r="25" spans="1:9" x14ac:dyDescent="0.35">
      <c r="G25" t="s">
        <v>455</v>
      </c>
      <c r="H25" t="s">
        <v>464</v>
      </c>
      <c r="I25" s="11">
        <v>-1989.1875259999999</v>
      </c>
    </row>
    <row r="26" spans="1:9" x14ac:dyDescent="0.35">
      <c r="G26" t="s">
        <v>465</v>
      </c>
      <c r="H26" t="s">
        <v>468</v>
      </c>
      <c r="I26" s="11">
        <v>-1989.192299</v>
      </c>
    </row>
    <row r="27" spans="1:9" x14ac:dyDescent="0.35">
      <c r="A27" t="s">
        <v>151</v>
      </c>
      <c r="G27" t="s">
        <v>186</v>
      </c>
      <c r="H27" t="s">
        <v>469</v>
      </c>
      <c r="I27" s="11">
        <v>-1989.1985299999999</v>
      </c>
    </row>
    <row r="28" spans="1:9" x14ac:dyDescent="0.35">
      <c r="A28" t="s">
        <v>39</v>
      </c>
      <c r="B28">
        <v>-1989.55881047</v>
      </c>
      <c r="G28" t="s">
        <v>151</v>
      </c>
      <c r="H28" t="s">
        <v>248</v>
      </c>
      <c r="I28" s="11">
        <v>-1989.190419</v>
      </c>
    </row>
    <row r="29" spans="1:9" x14ac:dyDescent="0.35">
      <c r="A29" t="s">
        <v>40</v>
      </c>
      <c r="B29">
        <v>0.437834</v>
      </c>
      <c r="G29" t="s">
        <v>183</v>
      </c>
      <c r="H29" t="s">
        <v>254</v>
      </c>
      <c r="I29" s="11">
        <v>-1989.198079</v>
      </c>
    </row>
    <row r="30" spans="1:9" x14ac:dyDescent="0.35">
      <c r="A30" t="s">
        <v>41</v>
      </c>
      <c r="B30">
        <v>0.47174300000000002</v>
      </c>
      <c r="G30" t="s">
        <v>178</v>
      </c>
      <c r="H30" t="s">
        <v>251</v>
      </c>
      <c r="I30" s="11">
        <v>-1989.1975460000001</v>
      </c>
    </row>
    <row r="31" spans="1:9" x14ac:dyDescent="0.35">
      <c r="A31" t="s">
        <v>42</v>
      </c>
      <c r="B31">
        <v>0.47268700000000002</v>
      </c>
    </row>
    <row r="32" spans="1:9" x14ac:dyDescent="0.35">
      <c r="A32" t="s">
        <v>43</v>
      </c>
      <c r="B32">
        <v>0.368392</v>
      </c>
    </row>
    <row r="33" spans="1:3" x14ac:dyDescent="0.35">
      <c r="A33" t="s">
        <v>44</v>
      </c>
      <c r="B33">
        <v>-1989.1209759999999</v>
      </c>
    </row>
    <row r="34" spans="1:3" x14ac:dyDescent="0.35">
      <c r="A34" t="s">
        <v>45</v>
      </c>
      <c r="B34">
        <v>-1989.087068</v>
      </c>
    </row>
    <row r="35" spans="1:3" x14ac:dyDescent="0.35">
      <c r="A35" t="s">
        <v>46</v>
      </c>
      <c r="B35">
        <v>-1989.0861239999999</v>
      </c>
    </row>
    <row r="36" spans="1:3" x14ac:dyDescent="0.35">
      <c r="A36" t="s">
        <v>47</v>
      </c>
      <c r="B36">
        <v>-1989.190419</v>
      </c>
    </row>
    <row r="39" spans="1:3" x14ac:dyDescent="0.35">
      <c r="A39" s="2" t="s">
        <v>147</v>
      </c>
    </row>
    <row r="40" spans="1:3" x14ac:dyDescent="0.35">
      <c r="A40" s="2" t="s">
        <v>176</v>
      </c>
    </row>
    <row r="41" spans="1:3" x14ac:dyDescent="0.35">
      <c r="A41" t="s">
        <v>177</v>
      </c>
    </row>
    <row r="42" spans="1:3" x14ac:dyDescent="0.35">
      <c r="A42" t="s">
        <v>39</v>
      </c>
      <c r="B42">
        <v>-1989.5655386599999</v>
      </c>
      <c r="C42" t="s">
        <v>57</v>
      </c>
    </row>
    <row r="43" spans="1:3" x14ac:dyDescent="0.35">
      <c r="A43" t="s">
        <v>40</v>
      </c>
      <c r="B43">
        <v>0.43823200000000001</v>
      </c>
    </row>
    <row r="44" spans="1:3" x14ac:dyDescent="0.35">
      <c r="A44" t="s">
        <v>41</v>
      </c>
      <c r="B44">
        <v>0.47192699999999999</v>
      </c>
    </row>
    <row r="45" spans="1:3" x14ac:dyDescent="0.35">
      <c r="A45" t="s">
        <v>42</v>
      </c>
      <c r="B45">
        <v>0.47287200000000001</v>
      </c>
    </row>
    <row r="46" spans="1:3" x14ac:dyDescent="0.35">
      <c r="A46" t="s">
        <v>43</v>
      </c>
      <c r="B46">
        <v>0.36883500000000002</v>
      </c>
    </row>
    <row r="47" spans="1:3" x14ac:dyDescent="0.35">
      <c r="A47" t="s">
        <v>44</v>
      </c>
      <c r="B47">
        <v>-1989.127307</v>
      </c>
    </row>
    <row r="48" spans="1:3" x14ac:dyDescent="0.35">
      <c r="A48" t="s">
        <v>45</v>
      </c>
      <c r="B48">
        <v>-1989.093611</v>
      </c>
    </row>
    <row r="49" spans="1:6" x14ac:dyDescent="0.35">
      <c r="A49" t="s">
        <v>46</v>
      </c>
      <c r="B49">
        <v>-1989.0926669999999</v>
      </c>
    </row>
    <row r="50" spans="1:6" x14ac:dyDescent="0.35">
      <c r="A50" t="s">
        <v>47</v>
      </c>
      <c r="B50">
        <v>-1989.1967030000001</v>
      </c>
    </row>
    <row r="52" spans="1:6" x14ac:dyDescent="0.35">
      <c r="A52" t="s">
        <v>179</v>
      </c>
    </row>
    <row r="53" spans="1:6" x14ac:dyDescent="0.35">
      <c r="A53" t="s">
        <v>39</v>
      </c>
      <c r="B53">
        <v>-1989.5669668099999</v>
      </c>
    </row>
    <row r="54" spans="1:6" x14ac:dyDescent="0.35">
      <c r="A54" t="s">
        <v>40</v>
      </c>
      <c r="B54">
        <v>0.43836000000000003</v>
      </c>
      <c r="C54" t="s">
        <v>57</v>
      </c>
    </row>
    <row r="55" spans="1:6" x14ac:dyDescent="0.35">
      <c r="A55" t="s">
        <v>41</v>
      </c>
      <c r="B55">
        <v>0.47184700000000002</v>
      </c>
    </row>
    <row r="56" spans="1:6" x14ac:dyDescent="0.35">
      <c r="A56" t="s">
        <v>42</v>
      </c>
      <c r="B56">
        <v>0.47279100000000002</v>
      </c>
    </row>
    <row r="57" spans="1:6" x14ac:dyDescent="0.35">
      <c r="A57" t="s">
        <v>43</v>
      </c>
      <c r="B57">
        <v>0.37006800000000001</v>
      </c>
    </row>
    <row r="58" spans="1:6" x14ac:dyDescent="0.35">
      <c r="A58" t="s">
        <v>44</v>
      </c>
      <c r="B58">
        <v>-1989.1286070000001</v>
      </c>
    </row>
    <row r="59" spans="1:6" x14ac:dyDescent="0.35">
      <c r="A59" t="s">
        <v>45</v>
      </c>
      <c r="B59">
        <v>-1989.09512</v>
      </c>
    </row>
    <row r="60" spans="1:6" x14ac:dyDescent="0.35">
      <c r="A60" t="s">
        <v>46</v>
      </c>
      <c r="B60">
        <v>-1989.0941760000001</v>
      </c>
    </row>
    <row r="61" spans="1:6" x14ac:dyDescent="0.35">
      <c r="A61" t="s">
        <v>47</v>
      </c>
      <c r="B61">
        <v>-1989.196899</v>
      </c>
    </row>
    <row r="63" spans="1:6" x14ac:dyDescent="0.35">
      <c r="A63" t="s">
        <v>178</v>
      </c>
    </row>
    <row r="64" spans="1:6" x14ac:dyDescent="0.35">
      <c r="A64" t="s">
        <v>39</v>
      </c>
      <c r="B64">
        <v>-1989.5664599199999</v>
      </c>
      <c r="C64" t="s">
        <v>159</v>
      </c>
      <c r="D64" t="s">
        <v>160</v>
      </c>
      <c r="E64">
        <v>1</v>
      </c>
      <c r="F64" t="s">
        <v>161</v>
      </c>
    </row>
    <row r="65" spans="1:6" x14ac:dyDescent="0.35">
      <c r="A65" t="s">
        <v>40</v>
      </c>
      <c r="B65">
        <v>0.43849900000000003</v>
      </c>
    </row>
    <row r="66" spans="1:6" x14ac:dyDescent="0.35">
      <c r="A66" t="s">
        <v>41</v>
      </c>
      <c r="B66">
        <v>0.47212399999999999</v>
      </c>
    </row>
    <row r="67" spans="1:6" x14ac:dyDescent="0.35">
      <c r="A67" t="s">
        <v>42</v>
      </c>
      <c r="B67">
        <v>0.47306799999999999</v>
      </c>
    </row>
    <row r="68" spans="1:6" x14ac:dyDescent="0.35">
      <c r="A68" t="s">
        <v>43</v>
      </c>
      <c r="B68">
        <v>0.36891400000000002</v>
      </c>
    </row>
    <row r="69" spans="1:6" x14ac:dyDescent="0.35">
      <c r="A69" t="s">
        <v>44</v>
      </c>
      <c r="B69">
        <v>-1989.1279609999999</v>
      </c>
    </row>
    <row r="70" spans="1:6" x14ac:dyDescent="0.35">
      <c r="A70" t="s">
        <v>45</v>
      </c>
      <c r="B70">
        <v>-1989.0943360000001</v>
      </c>
    </row>
    <row r="71" spans="1:6" x14ac:dyDescent="0.35">
      <c r="A71" t="s">
        <v>46</v>
      </c>
      <c r="B71">
        <v>-1989.093392</v>
      </c>
    </row>
    <row r="72" spans="1:6" x14ac:dyDescent="0.35">
      <c r="A72" t="s">
        <v>47</v>
      </c>
      <c r="B72">
        <v>-1989.1975460000001</v>
      </c>
    </row>
    <row r="74" spans="1:6" x14ac:dyDescent="0.35">
      <c r="A74" s="2" t="s">
        <v>180</v>
      </c>
    </row>
    <row r="75" spans="1:6" x14ac:dyDescent="0.35">
      <c r="A75" t="s">
        <v>181</v>
      </c>
    </row>
    <row r="76" spans="1:6" x14ac:dyDescent="0.35">
      <c r="A76" t="s">
        <v>39</v>
      </c>
      <c r="B76">
        <v>-1989.5619224500001</v>
      </c>
      <c r="C76" t="s">
        <v>159</v>
      </c>
      <c r="D76" t="s">
        <v>160</v>
      </c>
      <c r="E76">
        <v>1</v>
      </c>
      <c r="F76" t="s">
        <v>161</v>
      </c>
    </row>
    <row r="77" spans="1:6" x14ac:dyDescent="0.35">
      <c r="A77" t="s">
        <v>40</v>
      </c>
      <c r="B77">
        <v>0.43804100000000001</v>
      </c>
      <c r="C77" t="s">
        <v>57</v>
      </c>
    </row>
    <row r="78" spans="1:6" x14ac:dyDescent="0.35">
      <c r="A78" t="s">
        <v>41</v>
      </c>
      <c r="B78">
        <v>0.47189900000000001</v>
      </c>
    </row>
    <row r="79" spans="1:6" x14ac:dyDescent="0.35">
      <c r="A79" t="s">
        <v>42</v>
      </c>
      <c r="B79">
        <v>0.47284300000000001</v>
      </c>
    </row>
    <row r="80" spans="1:6" x14ac:dyDescent="0.35">
      <c r="A80" t="s">
        <v>43</v>
      </c>
      <c r="B80">
        <v>0.36640499999999998</v>
      </c>
    </row>
    <row r="81" spans="1:6" x14ac:dyDescent="0.35">
      <c r="A81" t="s">
        <v>44</v>
      </c>
      <c r="B81">
        <v>-1989.1238820000001</v>
      </c>
    </row>
    <row r="82" spans="1:6" x14ac:dyDescent="0.35">
      <c r="A82" t="s">
        <v>45</v>
      </c>
      <c r="B82">
        <v>-1989.0900240000001</v>
      </c>
    </row>
    <row r="83" spans="1:6" x14ac:dyDescent="0.35">
      <c r="A83" t="s">
        <v>46</v>
      </c>
      <c r="B83">
        <v>-1989.08908</v>
      </c>
    </row>
    <row r="84" spans="1:6" x14ac:dyDescent="0.35">
      <c r="A84" t="s">
        <v>47</v>
      </c>
      <c r="B84">
        <v>-1989.195518</v>
      </c>
    </row>
    <row r="86" spans="1:6" x14ac:dyDescent="0.35">
      <c r="A86" t="s">
        <v>182</v>
      </c>
    </row>
    <row r="87" spans="1:6" x14ac:dyDescent="0.35">
      <c r="A87" t="s">
        <v>39</v>
      </c>
      <c r="B87">
        <v>-1989.5623602200001</v>
      </c>
      <c r="C87" t="s">
        <v>159</v>
      </c>
      <c r="D87" t="s">
        <v>160</v>
      </c>
      <c r="E87">
        <v>2</v>
      </c>
      <c r="F87" t="s">
        <v>161</v>
      </c>
    </row>
    <row r="88" spans="1:6" x14ac:dyDescent="0.35">
      <c r="A88" t="s">
        <v>40</v>
      </c>
      <c r="B88">
        <v>0.43834600000000001</v>
      </c>
      <c r="C88" t="s">
        <v>57</v>
      </c>
    </row>
    <row r="89" spans="1:6" x14ac:dyDescent="0.35">
      <c r="A89" t="s">
        <v>41</v>
      </c>
      <c r="B89">
        <v>0.47220299999999998</v>
      </c>
    </row>
    <row r="90" spans="1:6" x14ac:dyDescent="0.35">
      <c r="A90" t="s">
        <v>42</v>
      </c>
      <c r="B90">
        <v>0.47314699999999998</v>
      </c>
    </row>
    <row r="91" spans="1:6" x14ac:dyDescent="0.35">
      <c r="A91" t="s">
        <v>43</v>
      </c>
      <c r="B91">
        <v>0.3669</v>
      </c>
    </row>
    <row r="92" spans="1:6" x14ac:dyDescent="0.35">
      <c r="A92" t="s">
        <v>44</v>
      </c>
      <c r="B92">
        <v>-1989.124014</v>
      </c>
    </row>
    <row r="93" spans="1:6" x14ac:dyDescent="0.35">
      <c r="A93" t="s">
        <v>45</v>
      </c>
      <c r="B93">
        <v>-1989.090158</v>
      </c>
    </row>
    <row r="94" spans="1:6" x14ac:dyDescent="0.35">
      <c r="A94" t="s">
        <v>46</v>
      </c>
      <c r="B94">
        <v>-1989.089213</v>
      </c>
    </row>
    <row r="95" spans="1:6" x14ac:dyDescent="0.35">
      <c r="A95" t="s">
        <v>47</v>
      </c>
      <c r="B95">
        <v>-1989.1954599999999</v>
      </c>
    </row>
    <row r="98" spans="1:6" x14ac:dyDescent="0.35">
      <c r="A98" t="s">
        <v>183</v>
      </c>
    </row>
    <row r="99" spans="1:6" x14ac:dyDescent="0.35">
      <c r="A99" t="s">
        <v>39</v>
      </c>
      <c r="B99">
        <v>-1989.5663143899999</v>
      </c>
      <c r="C99" t="s">
        <v>159</v>
      </c>
      <c r="D99" t="s">
        <v>160</v>
      </c>
      <c r="E99">
        <v>2</v>
      </c>
      <c r="F99" t="s">
        <v>161</v>
      </c>
    </row>
    <row r="100" spans="1:6" x14ac:dyDescent="0.35">
      <c r="A100" t="s">
        <v>40</v>
      </c>
      <c r="B100">
        <v>0.438475</v>
      </c>
      <c r="C100" t="s">
        <v>57</v>
      </c>
    </row>
    <row r="101" spans="1:6" x14ac:dyDescent="0.35">
      <c r="A101" t="s">
        <v>41</v>
      </c>
      <c r="B101">
        <v>0.47198600000000002</v>
      </c>
    </row>
    <row r="102" spans="1:6" x14ac:dyDescent="0.35">
      <c r="A102" t="s">
        <v>42</v>
      </c>
      <c r="B102">
        <v>0.47293000000000002</v>
      </c>
    </row>
    <row r="103" spans="1:6" x14ac:dyDescent="0.35">
      <c r="A103" t="s">
        <v>43</v>
      </c>
      <c r="B103">
        <v>0.36823499999999998</v>
      </c>
    </row>
    <row r="104" spans="1:6" x14ac:dyDescent="0.35">
      <c r="A104" t="s">
        <v>44</v>
      </c>
      <c r="B104">
        <v>-1989.1278400000001</v>
      </c>
    </row>
    <row r="105" spans="1:6" x14ac:dyDescent="0.35">
      <c r="A105" t="s">
        <v>45</v>
      </c>
      <c r="B105">
        <v>-1989.094329</v>
      </c>
    </row>
    <row r="106" spans="1:6" x14ac:dyDescent="0.35">
      <c r="A106" t="s">
        <v>46</v>
      </c>
      <c r="B106">
        <v>-1989.093384</v>
      </c>
    </row>
    <row r="107" spans="1:6" x14ac:dyDescent="0.35">
      <c r="A107" t="s">
        <v>47</v>
      </c>
      <c r="B107">
        <v>-1989.198079</v>
      </c>
    </row>
    <row r="109" spans="1:6" x14ac:dyDescent="0.35">
      <c r="A109" s="2" t="s">
        <v>184</v>
      </c>
    </row>
    <row r="110" spans="1:6" x14ac:dyDescent="0.35">
      <c r="A110" t="s">
        <v>185</v>
      </c>
    </row>
    <row r="111" spans="1:6" x14ac:dyDescent="0.35">
      <c r="A111" t="s">
        <v>39</v>
      </c>
      <c r="B111">
        <v>-1989.5638357600001</v>
      </c>
      <c r="C111" t="s">
        <v>159</v>
      </c>
      <c r="D111" t="s">
        <v>160</v>
      </c>
      <c r="E111">
        <v>1</v>
      </c>
      <c r="F111" t="s">
        <v>161</v>
      </c>
    </row>
    <row r="112" spans="1:6" x14ac:dyDescent="0.35">
      <c r="A112" t="s">
        <v>40</v>
      </c>
      <c r="B112">
        <v>0.43734499999999998</v>
      </c>
      <c r="C112" t="s">
        <v>57</v>
      </c>
    </row>
    <row r="113" spans="1:6" x14ac:dyDescent="0.35">
      <c r="A113" t="s">
        <v>41</v>
      </c>
      <c r="B113">
        <v>0.47137499999999999</v>
      </c>
    </row>
    <row r="114" spans="1:6" x14ac:dyDescent="0.35">
      <c r="A114" t="s">
        <v>42</v>
      </c>
      <c r="B114">
        <v>0.47232000000000002</v>
      </c>
    </row>
    <row r="115" spans="1:6" x14ac:dyDescent="0.35">
      <c r="A115" t="s">
        <v>43</v>
      </c>
      <c r="B115">
        <v>0.36550300000000002</v>
      </c>
    </row>
    <row r="116" spans="1:6" x14ac:dyDescent="0.35">
      <c r="A116" t="s">
        <v>44</v>
      </c>
      <c r="B116">
        <v>-1989.126491</v>
      </c>
    </row>
    <row r="117" spans="1:6" x14ac:dyDescent="0.35">
      <c r="A117" t="s">
        <v>45</v>
      </c>
      <c r="B117">
        <v>-1989.0924600000001</v>
      </c>
    </row>
    <row r="118" spans="1:6" x14ac:dyDescent="0.35">
      <c r="A118" t="s">
        <v>46</v>
      </c>
      <c r="B118">
        <v>-1989.091516</v>
      </c>
    </row>
    <row r="119" spans="1:6" x14ac:dyDescent="0.35">
      <c r="A119" t="s">
        <v>47</v>
      </c>
      <c r="B119">
        <v>-1989.198333</v>
      </c>
    </row>
    <row r="121" spans="1:6" x14ac:dyDescent="0.35">
      <c r="A121" t="s">
        <v>186</v>
      </c>
    </row>
    <row r="122" spans="1:6" x14ac:dyDescent="0.35">
      <c r="A122" t="s">
        <v>39</v>
      </c>
      <c r="B122">
        <v>-1989.5662076900001</v>
      </c>
      <c r="C122" t="s">
        <v>159</v>
      </c>
      <c r="D122" t="s">
        <v>160</v>
      </c>
      <c r="E122">
        <v>1</v>
      </c>
      <c r="F122" t="s">
        <v>161</v>
      </c>
    </row>
    <row r="123" spans="1:6" x14ac:dyDescent="0.35">
      <c r="A123" t="s">
        <v>40</v>
      </c>
      <c r="B123">
        <v>0.43812899999999999</v>
      </c>
      <c r="C123" t="s">
        <v>57</v>
      </c>
    </row>
    <row r="124" spans="1:6" x14ac:dyDescent="0.35">
      <c r="A124" t="s">
        <v>41</v>
      </c>
      <c r="B124">
        <v>0.47167399999999998</v>
      </c>
    </row>
    <row r="125" spans="1:6" x14ac:dyDescent="0.35">
      <c r="A125" t="s">
        <v>42</v>
      </c>
      <c r="B125">
        <v>0.47261799999999998</v>
      </c>
    </row>
    <row r="126" spans="1:6" x14ac:dyDescent="0.35">
      <c r="A126" t="s">
        <v>43</v>
      </c>
      <c r="B126">
        <v>0.367678</v>
      </c>
    </row>
    <row r="127" spans="1:6" x14ac:dyDescent="0.35">
      <c r="A127" t="s">
        <v>44</v>
      </c>
      <c r="B127">
        <v>-1989.1280790000001</v>
      </c>
    </row>
    <row r="128" spans="1:6" x14ac:dyDescent="0.35">
      <c r="A128" t="s">
        <v>45</v>
      </c>
      <c r="B128">
        <v>-1989.0945340000001</v>
      </c>
    </row>
    <row r="129" spans="1:6" x14ac:dyDescent="0.35">
      <c r="A129" t="s">
        <v>46</v>
      </c>
      <c r="B129">
        <v>-1989.0935890000001</v>
      </c>
    </row>
    <row r="130" spans="1:6" x14ac:dyDescent="0.35">
      <c r="A130" t="s">
        <v>47</v>
      </c>
      <c r="B130">
        <v>-1989.1985299999999</v>
      </c>
    </row>
    <row r="132" spans="1:6" x14ac:dyDescent="0.35">
      <c r="A132" t="s">
        <v>194</v>
      </c>
    </row>
    <row r="133" spans="1:6" x14ac:dyDescent="0.35">
      <c r="A133" t="s">
        <v>200</v>
      </c>
      <c r="B133" s="69" t="s">
        <v>195</v>
      </c>
      <c r="C133" s="70" t="s">
        <v>196</v>
      </c>
      <c r="D133" s="70" t="s">
        <v>197</v>
      </c>
      <c r="E133" s="70" t="s">
        <v>198</v>
      </c>
      <c r="F133" s="70" t="s">
        <v>199</v>
      </c>
    </row>
    <row r="134" spans="1:6" x14ac:dyDescent="0.35">
      <c r="A134" t="s">
        <v>201</v>
      </c>
    </row>
    <row r="137" spans="1:6" x14ac:dyDescent="0.35">
      <c r="A137" t="s">
        <v>389</v>
      </c>
    </row>
    <row r="138" spans="1:6" x14ac:dyDescent="0.35">
      <c r="A138" t="s">
        <v>390</v>
      </c>
    </row>
    <row r="139" spans="1:6" x14ac:dyDescent="0.35">
      <c r="A139" t="s">
        <v>391</v>
      </c>
    </row>
    <row r="140" spans="1:6" x14ac:dyDescent="0.35">
      <c r="A140" t="s">
        <v>392</v>
      </c>
    </row>
    <row r="141" spans="1:6" x14ac:dyDescent="0.35">
      <c r="A141" t="s">
        <v>393</v>
      </c>
    </row>
    <row r="142" spans="1:6" x14ac:dyDescent="0.35">
      <c r="A142" t="s">
        <v>394</v>
      </c>
    </row>
    <row r="143" spans="1:6" x14ac:dyDescent="0.35">
      <c r="A143" t="s">
        <v>395</v>
      </c>
    </row>
    <row r="144" spans="1:6" x14ac:dyDescent="0.35">
      <c r="A144" t="s">
        <v>396</v>
      </c>
    </row>
    <row r="145" spans="1:2" x14ac:dyDescent="0.35">
      <c r="A145" t="s">
        <v>397</v>
      </c>
    </row>
    <row r="146" spans="1:2" x14ac:dyDescent="0.35">
      <c r="A146" t="s">
        <v>398</v>
      </c>
      <c r="B146">
        <v>-1989.187887</v>
      </c>
    </row>
    <row r="149" spans="1:2" x14ac:dyDescent="0.35">
      <c r="A149" t="s">
        <v>400</v>
      </c>
    </row>
    <row r="150" spans="1:2" x14ac:dyDescent="0.35">
      <c r="A150" t="s">
        <v>401</v>
      </c>
    </row>
    <row r="151" spans="1:2" x14ac:dyDescent="0.35">
      <c r="A151" t="s">
        <v>402</v>
      </c>
    </row>
    <row r="152" spans="1:2" x14ac:dyDescent="0.35">
      <c r="A152" t="s">
        <v>403</v>
      </c>
    </row>
    <row r="153" spans="1:2" x14ac:dyDescent="0.35">
      <c r="A153" t="s">
        <v>404</v>
      </c>
    </row>
    <row r="154" spans="1:2" x14ac:dyDescent="0.35">
      <c r="A154" t="s">
        <v>405</v>
      </c>
    </row>
    <row r="155" spans="1:2" x14ac:dyDescent="0.35">
      <c r="A155" t="s">
        <v>406</v>
      </c>
    </row>
    <row r="156" spans="1:2" x14ac:dyDescent="0.35">
      <c r="A156" t="s">
        <v>407</v>
      </c>
    </row>
    <row r="157" spans="1:2" x14ac:dyDescent="0.35">
      <c r="A157" t="s">
        <v>408</v>
      </c>
    </row>
    <row r="158" spans="1:2" x14ac:dyDescent="0.35">
      <c r="A158" t="s">
        <v>409</v>
      </c>
      <c r="B158">
        <v>-1989.1909330000001</v>
      </c>
    </row>
    <row r="161" spans="1:2" x14ac:dyDescent="0.35">
      <c r="A161" t="s">
        <v>411</v>
      </c>
    </row>
    <row r="162" spans="1:2" x14ac:dyDescent="0.35">
      <c r="A162" t="s">
        <v>412</v>
      </c>
    </row>
    <row r="163" spans="1:2" x14ac:dyDescent="0.35">
      <c r="A163" t="s">
        <v>413</v>
      </c>
    </row>
    <row r="164" spans="1:2" x14ac:dyDescent="0.35">
      <c r="A164" t="s">
        <v>414</v>
      </c>
    </row>
    <row r="165" spans="1:2" x14ac:dyDescent="0.35">
      <c r="A165" t="s">
        <v>415</v>
      </c>
    </row>
    <row r="166" spans="1:2" x14ac:dyDescent="0.35">
      <c r="A166" t="s">
        <v>416</v>
      </c>
    </row>
    <row r="167" spans="1:2" x14ac:dyDescent="0.35">
      <c r="A167" t="s">
        <v>417</v>
      </c>
    </row>
    <row r="168" spans="1:2" x14ac:dyDescent="0.35">
      <c r="A168" t="s">
        <v>418</v>
      </c>
    </row>
    <row r="169" spans="1:2" x14ac:dyDescent="0.35">
      <c r="A169" t="s">
        <v>419</v>
      </c>
    </row>
    <row r="170" spans="1:2" x14ac:dyDescent="0.35">
      <c r="A170" t="s">
        <v>420</v>
      </c>
    </row>
    <row r="171" spans="1:2" x14ac:dyDescent="0.35">
      <c r="A171" t="s">
        <v>421</v>
      </c>
      <c r="B171">
        <v>-1989.1920250000001</v>
      </c>
    </row>
    <row r="174" spans="1:2" x14ac:dyDescent="0.35">
      <c r="A174" t="s">
        <v>423</v>
      </c>
    </row>
    <row r="175" spans="1:2" x14ac:dyDescent="0.35">
      <c r="A175" t="s">
        <v>424</v>
      </c>
    </row>
    <row r="176" spans="1:2" x14ac:dyDescent="0.35">
      <c r="A176" t="s">
        <v>425</v>
      </c>
    </row>
    <row r="177" spans="1:2" x14ac:dyDescent="0.35">
      <c r="A177" t="s">
        <v>414</v>
      </c>
    </row>
    <row r="178" spans="1:2" x14ac:dyDescent="0.35">
      <c r="A178" t="s">
        <v>426</v>
      </c>
    </row>
    <row r="179" spans="1:2" x14ac:dyDescent="0.35">
      <c r="A179" t="s">
        <v>427</v>
      </c>
    </row>
    <row r="180" spans="1:2" x14ac:dyDescent="0.35">
      <c r="A180" t="s">
        <v>428</v>
      </c>
    </row>
    <row r="181" spans="1:2" x14ac:dyDescent="0.35">
      <c r="A181" t="s">
        <v>429</v>
      </c>
    </row>
    <row r="182" spans="1:2" x14ac:dyDescent="0.35">
      <c r="A182" t="s">
        <v>430</v>
      </c>
    </row>
    <row r="183" spans="1:2" x14ac:dyDescent="0.35">
      <c r="A183" t="s">
        <v>431</v>
      </c>
    </row>
    <row r="184" spans="1:2" x14ac:dyDescent="0.35">
      <c r="A184" t="s">
        <v>370</v>
      </c>
      <c r="B184">
        <v>-1989.18903</v>
      </c>
    </row>
    <row r="187" spans="1:2" x14ac:dyDescent="0.35">
      <c r="A187" t="s">
        <v>433</v>
      </c>
    </row>
    <row r="188" spans="1:2" x14ac:dyDescent="0.35">
      <c r="A188" t="s">
        <v>434</v>
      </c>
    </row>
    <row r="189" spans="1:2" x14ac:dyDescent="0.35">
      <c r="A189" t="s">
        <v>435</v>
      </c>
    </row>
    <row r="190" spans="1:2" x14ac:dyDescent="0.35">
      <c r="A190" t="s">
        <v>414</v>
      </c>
    </row>
    <row r="191" spans="1:2" x14ac:dyDescent="0.35">
      <c r="A191" t="s">
        <v>436</v>
      </c>
    </row>
    <row r="192" spans="1:2" x14ac:dyDescent="0.35">
      <c r="A192" t="s">
        <v>437</v>
      </c>
    </row>
    <row r="193" spans="1:2" x14ac:dyDescent="0.35">
      <c r="A193" t="s">
        <v>438</v>
      </c>
    </row>
    <row r="194" spans="1:2" x14ac:dyDescent="0.35">
      <c r="A194" t="s">
        <v>439</v>
      </c>
    </row>
    <row r="195" spans="1:2" x14ac:dyDescent="0.35">
      <c r="A195" t="s">
        <v>440</v>
      </c>
    </row>
    <row r="196" spans="1:2" x14ac:dyDescent="0.35">
      <c r="A196" t="s">
        <v>441</v>
      </c>
    </row>
    <row r="197" spans="1:2" x14ac:dyDescent="0.35">
      <c r="A197" t="s">
        <v>370</v>
      </c>
      <c r="B197">
        <v>-1989.196702</v>
      </c>
    </row>
    <row r="200" spans="1:2" x14ac:dyDescent="0.35">
      <c r="A200" t="s">
        <v>443</v>
      </c>
    </row>
    <row r="201" spans="1:2" x14ac:dyDescent="0.35">
      <c r="A201" t="s">
        <v>453</v>
      </c>
      <c r="B201" t="s">
        <v>452</v>
      </c>
    </row>
    <row r="202" spans="1:2" x14ac:dyDescent="0.35">
      <c r="A202" t="s">
        <v>444</v>
      </c>
    </row>
    <row r="203" spans="1:2" x14ac:dyDescent="0.35">
      <c r="A203" t="s">
        <v>445</v>
      </c>
    </row>
    <row r="204" spans="1:2" x14ac:dyDescent="0.35">
      <c r="A204" t="s">
        <v>446</v>
      </c>
    </row>
    <row r="205" spans="1:2" x14ac:dyDescent="0.35">
      <c r="A205" t="s">
        <v>447</v>
      </c>
    </row>
    <row r="206" spans="1:2" x14ac:dyDescent="0.35">
      <c r="A206" t="s">
        <v>448</v>
      </c>
    </row>
    <row r="207" spans="1:2" x14ac:dyDescent="0.35">
      <c r="A207" t="s">
        <v>449</v>
      </c>
    </row>
    <row r="208" spans="1:2" x14ac:dyDescent="0.35">
      <c r="A208" t="s">
        <v>450</v>
      </c>
    </row>
    <row r="209" spans="1:2" x14ac:dyDescent="0.35">
      <c r="A209" t="s">
        <v>451</v>
      </c>
    </row>
    <row r="210" spans="1:2" x14ac:dyDescent="0.35">
      <c r="A210" t="s">
        <v>356</v>
      </c>
      <c r="B210">
        <v>-1989.1922939999999</v>
      </c>
    </row>
    <row r="211" spans="1:2" x14ac:dyDescent="0.35">
      <c r="B211" t="s">
        <v>454</v>
      </c>
    </row>
    <row r="213" spans="1:2" x14ac:dyDescent="0.35">
      <c r="A213" t="s">
        <v>455</v>
      </c>
    </row>
    <row r="214" spans="1:2" x14ac:dyDescent="0.35">
      <c r="A214" t="s">
        <v>456</v>
      </c>
    </row>
    <row r="215" spans="1:2" x14ac:dyDescent="0.35">
      <c r="A215" t="s">
        <v>457</v>
      </c>
    </row>
    <row r="216" spans="1:2" x14ac:dyDescent="0.35">
      <c r="A216" t="s">
        <v>414</v>
      </c>
    </row>
    <row r="217" spans="1:2" x14ac:dyDescent="0.35">
      <c r="A217" t="s">
        <v>458</v>
      </c>
    </row>
    <row r="218" spans="1:2" x14ac:dyDescent="0.35">
      <c r="A218" t="s">
        <v>459</v>
      </c>
    </row>
    <row r="219" spans="1:2" x14ac:dyDescent="0.35">
      <c r="A219" t="s">
        <v>460</v>
      </c>
    </row>
    <row r="220" spans="1:2" x14ac:dyDescent="0.35">
      <c r="A220" t="s">
        <v>461</v>
      </c>
    </row>
    <row r="221" spans="1:2" x14ac:dyDescent="0.35">
      <c r="A221" t="s">
        <v>462</v>
      </c>
    </row>
    <row r="222" spans="1:2" x14ac:dyDescent="0.35">
      <c r="A222" t="s">
        <v>463</v>
      </c>
    </row>
    <row r="223" spans="1:2" x14ac:dyDescent="0.35">
      <c r="A223" t="s">
        <v>356</v>
      </c>
      <c r="B223">
        <v>-1989.1875259999999</v>
      </c>
    </row>
    <row r="226" spans="1:2" x14ac:dyDescent="0.35">
      <c r="A226" t="s">
        <v>465</v>
      </c>
    </row>
    <row r="227" spans="1:2" x14ac:dyDescent="0.35">
      <c r="A227" t="s">
        <v>444</v>
      </c>
    </row>
    <row r="228" spans="1:2" x14ac:dyDescent="0.35">
      <c r="A228" t="s">
        <v>471</v>
      </c>
    </row>
    <row r="229" spans="1:2" x14ac:dyDescent="0.35">
      <c r="A229" t="s">
        <v>466</v>
      </c>
    </row>
    <row r="230" spans="1:2" x14ac:dyDescent="0.35">
      <c r="A230" t="s">
        <v>467</v>
      </c>
    </row>
    <row r="231" spans="1:2" x14ac:dyDescent="0.35">
      <c r="A231" t="s">
        <v>449</v>
      </c>
    </row>
    <row r="232" spans="1:2" x14ac:dyDescent="0.35">
      <c r="A232" t="s">
        <v>450</v>
      </c>
    </row>
    <row r="233" spans="1:2" x14ac:dyDescent="0.35">
      <c r="A233" t="s">
        <v>451</v>
      </c>
    </row>
    <row r="234" spans="1:2" x14ac:dyDescent="0.35">
      <c r="A234" t="s">
        <v>472</v>
      </c>
      <c r="B234">
        <v>-1989.192299</v>
      </c>
    </row>
    <row r="237" spans="1:2" x14ac:dyDescent="0.35">
      <c r="A237" t="s">
        <v>551</v>
      </c>
    </row>
    <row r="238" spans="1:2" x14ac:dyDescent="0.35">
      <c r="A238" t="s">
        <v>564</v>
      </c>
    </row>
    <row r="239" spans="1:2" x14ac:dyDescent="0.35">
      <c r="A239" t="s">
        <v>565</v>
      </c>
    </row>
    <row r="240" spans="1:2" x14ac:dyDescent="0.35">
      <c r="A240" t="s">
        <v>566</v>
      </c>
    </row>
    <row r="241" spans="1:2" x14ac:dyDescent="0.35">
      <c r="A241" t="s">
        <v>567</v>
      </c>
    </row>
    <row r="242" spans="1:2" x14ac:dyDescent="0.35">
      <c r="A242" t="s">
        <v>568</v>
      </c>
    </row>
    <row r="243" spans="1:2" x14ac:dyDescent="0.35">
      <c r="A243" t="s">
        <v>569</v>
      </c>
    </row>
    <row r="244" spans="1:2" x14ac:dyDescent="0.35">
      <c r="A244" t="s">
        <v>570</v>
      </c>
    </row>
    <row r="245" spans="1:2" x14ac:dyDescent="0.35">
      <c r="A245" t="s">
        <v>571</v>
      </c>
    </row>
    <row r="246" spans="1:2" x14ac:dyDescent="0.35">
      <c r="A246" t="s">
        <v>572</v>
      </c>
    </row>
    <row r="247" spans="1:2" x14ac:dyDescent="0.35">
      <c r="A247" t="s">
        <v>573</v>
      </c>
      <c r="B247">
        <v>-1989.1915670000001</v>
      </c>
    </row>
    <row r="249" spans="1:2" x14ac:dyDescent="0.35">
      <c r="A249" t="s">
        <v>575</v>
      </c>
    </row>
    <row r="250" spans="1:2" x14ac:dyDescent="0.35">
      <c r="A250" t="s">
        <v>576</v>
      </c>
    </row>
  </sheetData>
  <sortState ref="G12:I30">
    <sortCondition ref="H12:H30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6"/>
  <sheetViews>
    <sheetView topLeftCell="C1" zoomScale="89" zoomScaleNormal="130" workbookViewId="0">
      <selection activeCell="H3" sqref="H3"/>
    </sheetView>
  </sheetViews>
  <sheetFormatPr defaultRowHeight="14.5" x14ac:dyDescent="0.35"/>
  <cols>
    <col min="1" max="1" width="41.453125" bestFit="1" customWidth="1"/>
    <col min="2" max="2" width="28.26953125" customWidth="1"/>
    <col min="7" max="7" width="15.7265625" customWidth="1"/>
    <col min="8" max="8" width="13.1796875" customWidth="1"/>
    <col min="9" max="9" width="12.7265625" bestFit="1" customWidth="1"/>
    <col min="10" max="10" width="16.26953125" bestFit="1" customWidth="1"/>
    <col min="11" max="11" width="11.7265625" bestFit="1" customWidth="1"/>
    <col min="12" max="12" width="15.81640625" bestFit="1" customWidth="1"/>
  </cols>
  <sheetData>
    <row r="1" spans="1:12" x14ac:dyDescent="0.35">
      <c r="A1" s="2" t="s">
        <v>152</v>
      </c>
    </row>
    <row r="2" spans="1:12" x14ac:dyDescent="0.35">
      <c r="H2" t="s">
        <v>206</v>
      </c>
    </row>
    <row r="3" spans="1:12" x14ac:dyDescent="0.35">
      <c r="A3" t="s">
        <v>153</v>
      </c>
      <c r="B3" s="2"/>
      <c r="H3" t="s">
        <v>174</v>
      </c>
      <c r="I3">
        <f>MIN(B12,B24,B36,B48,B60,B72,B85,B96,B108,B120,B135,B147,B158,B170,B181,B192)</f>
        <v>-2193.615135</v>
      </c>
    </row>
    <row r="4" spans="1:12" x14ac:dyDescent="0.35">
      <c r="A4" t="s">
        <v>39</v>
      </c>
      <c r="B4">
        <v>-2193.97676022</v>
      </c>
      <c r="C4" t="s">
        <v>159</v>
      </c>
      <c r="D4" t="s">
        <v>160</v>
      </c>
      <c r="E4">
        <v>2</v>
      </c>
      <c r="F4" t="s">
        <v>161</v>
      </c>
      <c r="H4" t="s">
        <v>223</v>
      </c>
      <c r="I4">
        <f>MAX(B12,B24,B36,B48,B60,B72,B85,B96,B108)-MIN(B12,B24,B36,B48,B60,B72,B85,B96,B108)</f>
        <v>7.7009999999972933E-3</v>
      </c>
      <c r="J4" t="s">
        <v>224</v>
      </c>
      <c r="L4" t="s">
        <v>226</v>
      </c>
    </row>
    <row r="5" spans="1:12" x14ac:dyDescent="0.35">
      <c r="A5" t="s">
        <v>40</v>
      </c>
      <c r="B5">
        <v>0.440251</v>
      </c>
      <c r="C5" t="s">
        <v>57</v>
      </c>
      <c r="I5">
        <f>I4*2600</f>
        <v>20.022599999992963</v>
      </c>
      <c r="J5" t="s">
        <v>32</v>
      </c>
    </row>
    <row r="6" spans="1:12" x14ac:dyDescent="0.35">
      <c r="A6" t="s">
        <v>41</v>
      </c>
      <c r="B6" s="2">
        <v>0.47643400000000002</v>
      </c>
    </row>
    <row r="7" spans="1:12" x14ac:dyDescent="0.35">
      <c r="A7" t="s">
        <v>42</v>
      </c>
      <c r="B7">
        <v>0.47737800000000002</v>
      </c>
    </row>
    <row r="8" spans="1:12" x14ac:dyDescent="0.35">
      <c r="A8" t="s">
        <v>43</v>
      </c>
      <c r="B8" s="2">
        <v>0.36605500000000002</v>
      </c>
    </row>
    <row r="9" spans="1:12" x14ac:dyDescent="0.35">
      <c r="A9" t="s">
        <v>44</v>
      </c>
      <c r="B9">
        <v>-2193.536509</v>
      </c>
      <c r="G9" t="s">
        <v>153</v>
      </c>
      <c r="H9" t="s">
        <v>255</v>
      </c>
      <c r="I9">
        <v>-2193.6107050000001</v>
      </c>
    </row>
    <row r="10" spans="1:12" x14ac:dyDescent="0.35">
      <c r="A10" t="s">
        <v>45</v>
      </c>
      <c r="B10">
        <v>-2193.5003259999999</v>
      </c>
      <c r="G10" t="s">
        <v>327</v>
      </c>
      <c r="H10" t="s">
        <v>357</v>
      </c>
      <c r="I10">
        <v>-2193.6062149999998</v>
      </c>
    </row>
    <row r="11" spans="1:12" x14ac:dyDescent="0.35">
      <c r="A11" t="s">
        <v>46</v>
      </c>
      <c r="B11" s="2">
        <v>-2193.499382</v>
      </c>
      <c r="G11" t="s">
        <v>337</v>
      </c>
      <c r="H11" t="s">
        <v>358</v>
      </c>
      <c r="I11">
        <v>-2193.6090570000001</v>
      </c>
    </row>
    <row r="12" spans="1:12" x14ac:dyDescent="0.35">
      <c r="A12" t="s">
        <v>47</v>
      </c>
      <c r="B12">
        <v>-2193.6107050000001</v>
      </c>
      <c r="G12" t="s">
        <v>347</v>
      </c>
      <c r="H12" t="s">
        <v>359</v>
      </c>
      <c r="I12">
        <v>-2193.6125280000001</v>
      </c>
    </row>
    <row r="13" spans="1:12" x14ac:dyDescent="0.35">
      <c r="G13" t="s">
        <v>360</v>
      </c>
      <c r="H13" t="s">
        <v>369</v>
      </c>
      <c r="I13">
        <v>-2193.6069130000001</v>
      </c>
    </row>
    <row r="14" spans="1:12" x14ac:dyDescent="0.35">
      <c r="B14" s="2"/>
      <c r="G14" t="s">
        <v>154</v>
      </c>
      <c r="H14" t="s">
        <v>257</v>
      </c>
      <c r="I14">
        <v>-2193.6146210000002</v>
      </c>
    </row>
    <row r="15" spans="1:12" x14ac:dyDescent="0.35">
      <c r="A15" t="s">
        <v>154</v>
      </c>
      <c r="B15" s="2"/>
      <c r="G15" t="s">
        <v>155</v>
      </c>
      <c r="H15" t="s">
        <v>256</v>
      </c>
      <c r="I15">
        <v>-2193.607434</v>
      </c>
    </row>
    <row r="16" spans="1:12" x14ac:dyDescent="0.35">
      <c r="A16" t="s">
        <v>39</v>
      </c>
      <c r="B16">
        <v>-2193.97853579</v>
      </c>
      <c r="C16" t="s">
        <v>159</v>
      </c>
      <c r="D16" t="s">
        <v>160</v>
      </c>
      <c r="E16">
        <v>1</v>
      </c>
      <c r="F16" t="s">
        <v>161</v>
      </c>
      <c r="G16" t="s">
        <v>156</v>
      </c>
      <c r="H16" t="s">
        <v>258</v>
      </c>
      <c r="I16">
        <v>-2193.6136069999998</v>
      </c>
    </row>
    <row r="17" spans="1:10" x14ac:dyDescent="0.35">
      <c r="A17" t="s">
        <v>40</v>
      </c>
      <c r="B17">
        <v>0.44027300000000003</v>
      </c>
      <c r="C17" t="s">
        <v>57</v>
      </c>
      <c r="G17" t="s">
        <v>157</v>
      </c>
      <c r="H17" t="s">
        <v>259</v>
      </c>
      <c r="I17">
        <v>-2193.6147510000001</v>
      </c>
    </row>
    <row r="18" spans="1:10" x14ac:dyDescent="0.35">
      <c r="A18" t="s">
        <v>41</v>
      </c>
      <c r="B18">
        <v>0.47661500000000001</v>
      </c>
      <c r="G18" t="s">
        <v>158</v>
      </c>
      <c r="H18" t="s">
        <v>260</v>
      </c>
      <c r="I18">
        <v>-2193.6107950000001</v>
      </c>
    </row>
    <row r="19" spans="1:10" x14ac:dyDescent="0.35">
      <c r="A19" t="s">
        <v>42</v>
      </c>
      <c r="B19">
        <v>0.47755900000000001</v>
      </c>
      <c r="G19" t="s">
        <v>174</v>
      </c>
      <c r="H19" t="s">
        <v>548</v>
      </c>
      <c r="I19">
        <v>-2193.615135</v>
      </c>
    </row>
    <row r="20" spans="1:10" x14ac:dyDescent="0.35">
      <c r="A20" t="s">
        <v>43</v>
      </c>
      <c r="B20">
        <v>0.36391499999999999</v>
      </c>
      <c r="G20" t="s">
        <v>172</v>
      </c>
      <c r="H20" t="s">
        <v>258</v>
      </c>
      <c r="I20">
        <v>-2193.6139920000001</v>
      </c>
    </row>
    <row r="21" spans="1:10" x14ac:dyDescent="0.35">
      <c r="A21" t="s">
        <v>44</v>
      </c>
      <c r="B21">
        <v>-2193.538262</v>
      </c>
      <c r="G21" t="s">
        <v>162</v>
      </c>
      <c r="H21" t="s">
        <v>549</v>
      </c>
      <c r="I21">
        <v>-2193.6138110000002</v>
      </c>
    </row>
    <row r="22" spans="1:10" x14ac:dyDescent="0.35">
      <c r="A22" t="s">
        <v>45</v>
      </c>
      <c r="B22">
        <v>-2193.5019200000002</v>
      </c>
      <c r="G22" s="18" t="s">
        <v>175</v>
      </c>
      <c r="H22" s="18" t="s">
        <v>562</v>
      </c>
      <c r="I22" s="83">
        <v>-2169.7172569999998</v>
      </c>
    </row>
    <row r="23" spans="1:10" x14ac:dyDescent="0.35">
      <c r="A23" t="s">
        <v>46</v>
      </c>
      <c r="B23">
        <v>-2193.5009759999998</v>
      </c>
      <c r="G23" s="18" t="s">
        <v>371</v>
      </c>
      <c r="H23" s="18" t="s">
        <v>380</v>
      </c>
      <c r="I23" s="18">
        <v>-2193.4272209999999</v>
      </c>
      <c r="J23" s="18"/>
    </row>
    <row r="24" spans="1:10" x14ac:dyDescent="0.35">
      <c r="A24" t="s">
        <v>47</v>
      </c>
      <c r="B24">
        <v>-2193.6146210000002</v>
      </c>
      <c r="G24" t="s">
        <v>552</v>
      </c>
      <c r="H24" s="1" t="s">
        <v>562</v>
      </c>
      <c r="I24" s="1">
        <v>-2193.6125430000002</v>
      </c>
      <c r="J24" s="18"/>
    </row>
    <row r="25" spans="1:10" x14ac:dyDescent="0.35">
      <c r="G25" s="18"/>
      <c r="H25" s="18"/>
      <c r="I25" s="18"/>
    </row>
    <row r="27" spans="1:10" x14ac:dyDescent="0.35">
      <c r="A27" t="s">
        <v>155</v>
      </c>
    </row>
    <row r="28" spans="1:10" x14ac:dyDescent="0.35">
      <c r="A28" t="s">
        <v>39</v>
      </c>
      <c r="B28">
        <v>-2193.9741168300002</v>
      </c>
      <c r="C28" t="s">
        <v>159</v>
      </c>
      <c r="D28" t="s">
        <v>160</v>
      </c>
      <c r="E28">
        <v>2</v>
      </c>
      <c r="F28" t="s">
        <v>161</v>
      </c>
    </row>
    <row r="29" spans="1:10" x14ac:dyDescent="0.35">
      <c r="A29" t="s">
        <v>40</v>
      </c>
      <c r="B29">
        <v>0.44045299999999998</v>
      </c>
      <c r="C29" t="s">
        <v>57</v>
      </c>
    </row>
    <row r="30" spans="1:10" x14ac:dyDescent="0.35">
      <c r="A30" t="s">
        <v>41</v>
      </c>
      <c r="B30">
        <v>0.476767</v>
      </c>
    </row>
    <row r="31" spans="1:10" x14ac:dyDescent="0.35">
      <c r="A31" t="s">
        <v>42</v>
      </c>
      <c r="B31">
        <v>0.477711</v>
      </c>
    </row>
    <row r="32" spans="1:10" x14ac:dyDescent="0.35">
      <c r="A32" t="s">
        <v>43</v>
      </c>
      <c r="B32">
        <v>0.36668299999999998</v>
      </c>
    </row>
    <row r="33" spans="1:6" x14ac:dyDescent="0.35">
      <c r="A33" t="s">
        <v>44</v>
      </c>
      <c r="B33">
        <v>-2193.533664</v>
      </c>
    </row>
    <row r="34" spans="1:6" x14ac:dyDescent="0.35">
      <c r="A34" t="s">
        <v>45</v>
      </c>
      <c r="B34">
        <v>-2193.4973500000001</v>
      </c>
    </row>
    <row r="35" spans="1:6" x14ac:dyDescent="0.35">
      <c r="A35" t="s">
        <v>46</v>
      </c>
      <c r="B35">
        <v>-2193.4964060000002</v>
      </c>
    </row>
    <row r="36" spans="1:6" x14ac:dyDescent="0.35">
      <c r="A36" t="s">
        <v>47</v>
      </c>
      <c r="B36">
        <v>-2193.607434</v>
      </c>
    </row>
    <row r="39" spans="1:6" x14ac:dyDescent="0.35">
      <c r="A39" t="s">
        <v>156</v>
      </c>
    </row>
    <row r="40" spans="1:6" x14ac:dyDescent="0.35">
      <c r="A40" t="s">
        <v>39</v>
      </c>
      <c r="B40">
        <v>-2193.9810447899999</v>
      </c>
      <c r="C40" t="s">
        <v>159</v>
      </c>
      <c r="D40" t="s">
        <v>160</v>
      </c>
      <c r="E40">
        <v>1</v>
      </c>
      <c r="F40" t="s">
        <v>161</v>
      </c>
    </row>
    <row r="41" spans="1:6" x14ac:dyDescent="0.35">
      <c r="A41" t="s">
        <v>40</v>
      </c>
      <c r="B41">
        <v>0.44100800000000001</v>
      </c>
      <c r="C41" t="s">
        <v>57</v>
      </c>
    </row>
    <row r="42" spans="1:6" x14ac:dyDescent="0.35">
      <c r="A42" t="s">
        <v>41</v>
      </c>
      <c r="B42">
        <v>0.47701300000000002</v>
      </c>
    </row>
    <row r="43" spans="1:6" x14ac:dyDescent="0.35">
      <c r="A43" t="s">
        <v>42</v>
      </c>
      <c r="B43">
        <v>0.47795799999999999</v>
      </c>
    </row>
    <row r="44" spans="1:6" x14ac:dyDescent="0.35">
      <c r="A44" t="s">
        <v>43</v>
      </c>
      <c r="B44">
        <v>0.36743799999999999</v>
      </c>
    </row>
    <row r="45" spans="1:6" x14ac:dyDescent="0.35">
      <c r="A45" t="s">
        <v>44</v>
      </c>
      <c r="B45">
        <v>-2193.5400370000002</v>
      </c>
    </row>
    <row r="46" spans="1:6" x14ac:dyDescent="0.35">
      <c r="A46" t="s">
        <v>45</v>
      </c>
      <c r="B46">
        <v>-2193.5040309999999</v>
      </c>
    </row>
    <row r="47" spans="1:6" x14ac:dyDescent="0.35">
      <c r="A47" t="s">
        <v>46</v>
      </c>
      <c r="B47">
        <v>-2193.5030870000001</v>
      </c>
    </row>
    <row r="48" spans="1:6" x14ac:dyDescent="0.35">
      <c r="A48" t="s">
        <v>47</v>
      </c>
      <c r="B48">
        <v>-2193.6136069999998</v>
      </c>
    </row>
    <row r="51" spans="1:6" x14ac:dyDescent="0.35">
      <c r="A51" t="s">
        <v>157</v>
      </c>
    </row>
    <row r="52" spans="1:6" x14ac:dyDescent="0.35">
      <c r="A52" t="s">
        <v>39</v>
      </c>
      <c r="B52">
        <v>-2193.98185096</v>
      </c>
      <c r="C52" t="s">
        <v>159</v>
      </c>
      <c r="D52" t="s">
        <v>160</v>
      </c>
      <c r="E52">
        <v>2</v>
      </c>
      <c r="F52" t="s">
        <v>161</v>
      </c>
    </row>
    <row r="53" spans="1:6" x14ac:dyDescent="0.35">
      <c r="A53" t="s">
        <v>40</v>
      </c>
      <c r="B53">
        <v>0.44086700000000001</v>
      </c>
      <c r="C53" t="s">
        <v>57</v>
      </c>
    </row>
    <row r="54" spans="1:6" x14ac:dyDescent="0.35">
      <c r="A54" t="s">
        <v>41</v>
      </c>
      <c r="B54">
        <v>0.47671799999999998</v>
      </c>
    </row>
    <row r="55" spans="1:6" x14ac:dyDescent="0.35">
      <c r="A55" t="s">
        <v>42</v>
      </c>
      <c r="B55">
        <v>0.477663</v>
      </c>
    </row>
    <row r="56" spans="1:6" x14ac:dyDescent="0.35">
      <c r="A56" t="s">
        <v>43</v>
      </c>
      <c r="B56">
        <v>0.36709999999999998</v>
      </c>
    </row>
    <row r="57" spans="1:6" x14ac:dyDescent="0.35">
      <c r="A57" t="s">
        <v>44</v>
      </c>
      <c r="B57">
        <v>-2193.5409840000002</v>
      </c>
    </row>
    <row r="58" spans="1:6" x14ac:dyDescent="0.35">
      <c r="A58" t="s">
        <v>45</v>
      </c>
      <c r="B58">
        <v>-2193.5051330000001</v>
      </c>
    </row>
    <row r="59" spans="1:6" x14ac:dyDescent="0.35">
      <c r="A59" t="s">
        <v>46</v>
      </c>
      <c r="B59">
        <v>-2193.5041879999999</v>
      </c>
    </row>
    <row r="60" spans="1:6" x14ac:dyDescent="0.35">
      <c r="A60" t="s">
        <v>47</v>
      </c>
      <c r="B60">
        <v>-2193.6147510000001</v>
      </c>
    </row>
    <row r="63" spans="1:6" x14ac:dyDescent="0.35">
      <c r="A63" t="s">
        <v>158</v>
      </c>
    </row>
    <row r="64" spans="1:6" x14ac:dyDescent="0.35">
      <c r="A64" t="s">
        <v>39</v>
      </c>
      <c r="B64">
        <v>-2193.9728190000001</v>
      </c>
      <c r="C64" t="s">
        <v>159</v>
      </c>
      <c r="D64" t="s">
        <v>160</v>
      </c>
      <c r="E64">
        <v>2</v>
      </c>
      <c r="F64" t="s">
        <v>161</v>
      </c>
    </row>
    <row r="65" spans="1:7" x14ac:dyDescent="0.35">
      <c r="A65" t="s">
        <v>40</v>
      </c>
      <c r="B65">
        <v>0.43901099999999998</v>
      </c>
      <c r="C65" t="s">
        <v>57</v>
      </c>
    </row>
    <row r="66" spans="1:7" x14ac:dyDescent="0.35">
      <c r="A66" t="s">
        <v>41</v>
      </c>
      <c r="B66">
        <v>0.47586099999999998</v>
      </c>
    </row>
    <row r="67" spans="1:7" x14ac:dyDescent="0.35">
      <c r="A67" t="s">
        <v>42</v>
      </c>
      <c r="B67">
        <v>0.47680600000000001</v>
      </c>
    </row>
    <row r="68" spans="1:7" x14ac:dyDescent="0.35">
      <c r="A68" t="s">
        <v>43</v>
      </c>
      <c r="B68">
        <v>0.36202400000000001</v>
      </c>
    </row>
    <row r="69" spans="1:7" x14ac:dyDescent="0.35">
      <c r="A69" t="s">
        <v>44</v>
      </c>
      <c r="B69">
        <v>-2193.5338080000001</v>
      </c>
    </row>
    <row r="70" spans="1:7" x14ac:dyDescent="0.35">
      <c r="A70" t="s">
        <v>45</v>
      </c>
      <c r="B70">
        <v>-2193.4969580000002</v>
      </c>
    </row>
    <row r="71" spans="1:7" x14ac:dyDescent="0.35">
      <c r="A71" t="s">
        <v>46</v>
      </c>
      <c r="B71">
        <v>-2193.4960129999999</v>
      </c>
    </row>
    <row r="72" spans="1:7" x14ac:dyDescent="0.35">
      <c r="A72" t="s">
        <v>47</v>
      </c>
      <c r="B72">
        <v>-2193.6107950000001</v>
      </c>
    </row>
    <row r="75" spans="1:7" s="2" customFormat="1" x14ac:dyDescent="0.35">
      <c r="A75" s="2" t="s">
        <v>147</v>
      </c>
      <c r="B75" s="2" t="s">
        <v>173</v>
      </c>
    </row>
    <row r="76" spans="1:7" x14ac:dyDescent="0.35">
      <c r="A76" t="s">
        <v>162</v>
      </c>
    </row>
    <row r="77" spans="1:7" x14ac:dyDescent="0.35">
      <c r="A77" t="s">
        <v>163</v>
      </c>
      <c r="B77">
        <v>-2193.9810266099998</v>
      </c>
      <c r="C77" t="s">
        <v>159</v>
      </c>
      <c r="D77" t="s">
        <v>160</v>
      </c>
      <c r="E77">
        <v>1</v>
      </c>
      <c r="G77" t="s">
        <v>161</v>
      </c>
    </row>
    <row r="78" spans="1:7" x14ac:dyDescent="0.35">
      <c r="A78" t="s">
        <v>164</v>
      </c>
      <c r="B78">
        <v>0.440695</v>
      </c>
      <c r="C78" t="s">
        <v>57</v>
      </c>
    </row>
    <row r="79" spans="1:7" x14ac:dyDescent="0.35">
      <c r="A79" t="s">
        <v>165</v>
      </c>
      <c r="B79">
        <v>0.476524</v>
      </c>
    </row>
    <row r="80" spans="1:7" x14ac:dyDescent="0.35">
      <c r="A80" t="s">
        <v>166</v>
      </c>
      <c r="B80">
        <v>0.47746899999999998</v>
      </c>
    </row>
    <row r="81" spans="1:2" x14ac:dyDescent="0.35">
      <c r="A81" t="s">
        <v>167</v>
      </c>
      <c r="B81">
        <v>0.36721500000000001</v>
      </c>
    </row>
    <row r="82" spans="1:2" x14ac:dyDescent="0.35">
      <c r="A82" t="s">
        <v>168</v>
      </c>
      <c r="B82">
        <v>-2193.540332</v>
      </c>
    </row>
    <row r="83" spans="1:2" x14ac:dyDescent="0.35">
      <c r="A83" t="s">
        <v>169</v>
      </c>
      <c r="B83">
        <v>-2193.5045019999998</v>
      </c>
    </row>
    <row r="84" spans="1:2" x14ac:dyDescent="0.35">
      <c r="A84" t="s">
        <v>170</v>
      </c>
      <c r="B84">
        <v>-2193.5035579999999</v>
      </c>
    </row>
    <row r="85" spans="1:2" x14ac:dyDescent="0.35">
      <c r="A85" t="s">
        <v>171</v>
      </c>
      <c r="B85">
        <v>-2193.6138110000002</v>
      </c>
    </row>
    <row r="87" spans="1:2" x14ac:dyDescent="0.35">
      <c r="A87" t="s">
        <v>172</v>
      </c>
    </row>
    <row r="88" spans="1:2" x14ac:dyDescent="0.35">
      <c r="A88" t="s">
        <v>163</v>
      </c>
      <c r="B88">
        <v>-2193.9804537700002</v>
      </c>
    </row>
    <row r="89" spans="1:2" x14ac:dyDescent="0.35">
      <c r="A89" t="s">
        <v>164</v>
      </c>
      <c r="B89">
        <v>0.44044699999999998</v>
      </c>
    </row>
    <row r="90" spans="1:2" x14ac:dyDescent="0.35">
      <c r="A90" t="s">
        <v>165</v>
      </c>
      <c r="B90">
        <v>0.476663</v>
      </c>
    </row>
    <row r="91" spans="1:2" x14ac:dyDescent="0.35">
      <c r="A91" t="s">
        <v>166</v>
      </c>
      <c r="B91">
        <v>0.477607</v>
      </c>
    </row>
    <row r="92" spans="1:2" x14ac:dyDescent="0.35">
      <c r="A92" t="s">
        <v>167</v>
      </c>
      <c r="B92">
        <v>0.36646200000000001</v>
      </c>
    </row>
    <row r="93" spans="1:2" x14ac:dyDescent="0.35">
      <c r="A93" t="s">
        <v>168</v>
      </c>
      <c r="B93">
        <v>-2193.5400070000001</v>
      </c>
    </row>
    <row r="94" spans="1:2" x14ac:dyDescent="0.35">
      <c r="A94" t="s">
        <v>169</v>
      </c>
      <c r="B94">
        <v>-2193.5037910000001</v>
      </c>
    </row>
    <row r="95" spans="1:2" x14ac:dyDescent="0.35">
      <c r="A95" t="s">
        <v>170</v>
      </c>
      <c r="B95">
        <v>-2193.5028459999999</v>
      </c>
    </row>
    <row r="96" spans="1:2" x14ac:dyDescent="0.35">
      <c r="A96" t="s">
        <v>171</v>
      </c>
      <c r="B96">
        <v>-2193.6139920000001</v>
      </c>
    </row>
    <row r="99" spans="1:3" x14ac:dyDescent="0.35">
      <c r="A99" t="s">
        <v>174</v>
      </c>
    </row>
    <row r="100" spans="1:3" x14ac:dyDescent="0.35">
      <c r="A100" t="s">
        <v>163</v>
      </c>
      <c r="B100">
        <v>-2193.9811034700001</v>
      </c>
    </row>
    <row r="101" spans="1:3" x14ac:dyDescent="0.35">
      <c r="A101" t="s">
        <v>164</v>
      </c>
      <c r="B101">
        <v>0.440722</v>
      </c>
    </row>
    <row r="102" spans="1:3" x14ac:dyDescent="0.35">
      <c r="A102" t="s">
        <v>165</v>
      </c>
      <c r="B102">
        <v>0.47685899999999998</v>
      </c>
    </row>
    <row r="103" spans="1:3" x14ac:dyDescent="0.35">
      <c r="A103" t="s">
        <v>166</v>
      </c>
      <c r="B103">
        <v>0.47780299999999998</v>
      </c>
      <c r="C103" t="s">
        <v>57</v>
      </c>
    </row>
    <row r="104" spans="1:3" x14ac:dyDescent="0.35">
      <c r="A104" t="s">
        <v>167</v>
      </c>
      <c r="B104">
        <v>0.36596800000000002</v>
      </c>
    </row>
    <row r="105" spans="1:3" x14ac:dyDescent="0.35">
      <c r="A105" t="s">
        <v>168</v>
      </c>
      <c r="B105">
        <v>-2193.5403809999998</v>
      </c>
    </row>
    <row r="106" spans="1:3" x14ac:dyDescent="0.35">
      <c r="A106" t="s">
        <v>169</v>
      </c>
      <c r="B106">
        <v>-2193.5042450000001</v>
      </c>
    </row>
    <row r="107" spans="1:3" x14ac:dyDescent="0.35">
      <c r="A107" t="s">
        <v>170</v>
      </c>
      <c r="B107">
        <v>-2193.5033010000002</v>
      </c>
    </row>
    <row r="108" spans="1:3" x14ac:dyDescent="0.35">
      <c r="A108" t="s">
        <v>171</v>
      </c>
      <c r="B108">
        <v>-2193.615135</v>
      </c>
    </row>
    <row r="110" spans="1:3" s="2" customFormat="1" x14ac:dyDescent="0.35">
      <c r="A110" s="2" t="s">
        <v>231</v>
      </c>
    </row>
    <row r="111" spans="1:3" x14ac:dyDescent="0.35">
      <c r="A111" t="s">
        <v>175</v>
      </c>
    </row>
    <row r="112" spans="1:3" x14ac:dyDescent="0.35">
      <c r="A112" t="s">
        <v>163</v>
      </c>
      <c r="B112">
        <v>-2181.5537213600001</v>
      </c>
    </row>
    <row r="113" spans="1:5" x14ac:dyDescent="0.35">
      <c r="A113" t="s">
        <v>164</v>
      </c>
      <c r="B113">
        <v>0.460505</v>
      </c>
      <c r="C113" t="s">
        <v>57</v>
      </c>
    </row>
    <row r="114" spans="1:5" x14ac:dyDescent="0.35">
      <c r="A114" t="s">
        <v>165</v>
      </c>
      <c r="B114">
        <v>0.49581700000000001</v>
      </c>
    </row>
    <row r="115" spans="1:5" x14ac:dyDescent="0.35">
      <c r="A115" t="s">
        <v>166</v>
      </c>
      <c r="B115">
        <v>0.49676100000000001</v>
      </c>
    </row>
    <row r="116" spans="1:5" x14ac:dyDescent="0.35">
      <c r="A116" t="s">
        <v>167</v>
      </c>
      <c r="B116">
        <v>0.38814700000000002</v>
      </c>
    </row>
    <row r="117" spans="1:5" x14ac:dyDescent="0.35">
      <c r="A117" t="s">
        <v>168</v>
      </c>
      <c r="B117">
        <v>-2169.644898</v>
      </c>
    </row>
    <row r="118" spans="1:5" x14ac:dyDescent="0.35">
      <c r="A118" t="s">
        <v>169</v>
      </c>
      <c r="B118">
        <v>-2169.6095869999999</v>
      </c>
    </row>
    <row r="119" spans="1:5" x14ac:dyDescent="0.35">
      <c r="A119" t="s">
        <v>170</v>
      </c>
      <c r="B119">
        <v>-2169.6086420000001</v>
      </c>
    </row>
    <row r="120" spans="1:5" x14ac:dyDescent="0.35">
      <c r="A120" s="77" t="s">
        <v>171</v>
      </c>
      <c r="B120" s="77">
        <v>-2169.7172569999998</v>
      </c>
      <c r="C120" t="s">
        <v>134</v>
      </c>
      <c r="E120" t="s">
        <v>237</v>
      </c>
    </row>
    <row r="123" spans="1:5" x14ac:dyDescent="0.35">
      <c r="A123" t="s">
        <v>187</v>
      </c>
    </row>
    <row r="124" spans="1:5" x14ac:dyDescent="0.35">
      <c r="A124" t="s">
        <v>189</v>
      </c>
      <c r="B124" s="67" t="s">
        <v>190</v>
      </c>
      <c r="C124" s="67" t="s">
        <v>191</v>
      </c>
      <c r="D124" s="67" t="s">
        <v>192</v>
      </c>
      <c r="E124" s="68" t="s">
        <v>193</v>
      </c>
    </row>
    <row r="126" spans="1:5" x14ac:dyDescent="0.35">
      <c r="A126" t="s">
        <v>327</v>
      </c>
    </row>
    <row r="127" spans="1:5" x14ac:dyDescent="0.35">
      <c r="A127" t="s">
        <v>328</v>
      </c>
    </row>
    <row r="128" spans="1:5" x14ac:dyDescent="0.35">
      <c r="A128" t="s">
        <v>329</v>
      </c>
    </row>
    <row r="129" spans="1:2" x14ac:dyDescent="0.35">
      <c r="A129" t="s">
        <v>330</v>
      </c>
    </row>
    <row r="130" spans="1:2" x14ac:dyDescent="0.35">
      <c r="A130" t="s">
        <v>331</v>
      </c>
    </row>
    <row r="131" spans="1:2" x14ac:dyDescent="0.35">
      <c r="A131" t="s">
        <v>332</v>
      </c>
    </row>
    <row r="132" spans="1:2" x14ac:dyDescent="0.35">
      <c r="A132" t="s">
        <v>333</v>
      </c>
    </row>
    <row r="133" spans="1:2" x14ac:dyDescent="0.35">
      <c r="A133" t="s">
        <v>334</v>
      </c>
    </row>
    <row r="134" spans="1:2" x14ac:dyDescent="0.35">
      <c r="A134" t="s">
        <v>335</v>
      </c>
    </row>
    <row r="135" spans="1:2" x14ac:dyDescent="0.35">
      <c r="A135" t="s">
        <v>336</v>
      </c>
      <c r="B135">
        <v>-2193.6062149999998</v>
      </c>
    </row>
    <row r="138" spans="1:2" x14ac:dyDescent="0.35">
      <c r="A138" t="s">
        <v>337</v>
      </c>
    </row>
    <row r="139" spans="1:2" x14ac:dyDescent="0.35">
      <c r="A139" t="s">
        <v>338</v>
      </c>
    </row>
    <row r="140" spans="1:2" x14ac:dyDescent="0.35">
      <c r="A140" t="s">
        <v>339</v>
      </c>
    </row>
    <row r="141" spans="1:2" x14ac:dyDescent="0.35">
      <c r="A141" t="s">
        <v>340</v>
      </c>
    </row>
    <row r="142" spans="1:2" x14ac:dyDescent="0.35">
      <c r="A142" t="s">
        <v>341</v>
      </c>
    </row>
    <row r="143" spans="1:2" x14ac:dyDescent="0.35">
      <c r="A143" t="s">
        <v>342</v>
      </c>
    </row>
    <row r="144" spans="1:2" x14ac:dyDescent="0.35">
      <c r="A144" t="s">
        <v>343</v>
      </c>
    </row>
    <row r="145" spans="1:2" x14ac:dyDescent="0.35">
      <c r="A145" t="s">
        <v>344</v>
      </c>
    </row>
    <row r="146" spans="1:2" x14ac:dyDescent="0.35">
      <c r="A146" t="s">
        <v>345</v>
      </c>
    </row>
    <row r="147" spans="1:2" x14ac:dyDescent="0.35">
      <c r="A147" t="s">
        <v>346</v>
      </c>
      <c r="B147">
        <v>2193.6090570000001</v>
      </c>
    </row>
    <row r="149" spans="1:2" x14ac:dyDescent="0.35">
      <c r="A149" t="s">
        <v>347</v>
      </c>
    </row>
    <row r="150" spans="1:2" x14ac:dyDescent="0.35">
      <c r="A150" t="s">
        <v>348</v>
      </c>
    </row>
    <row r="151" spans="1:2" x14ac:dyDescent="0.35">
      <c r="A151" t="s">
        <v>349</v>
      </c>
    </row>
    <row r="152" spans="1:2" x14ac:dyDescent="0.35">
      <c r="A152" t="s">
        <v>350</v>
      </c>
    </row>
    <row r="153" spans="1:2" x14ac:dyDescent="0.35">
      <c r="A153" t="s">
        <v>351</v>
      </c>
    </row>
    <row r="154" spans="1:2" x14ac:dyDescent="0.35">
      <c r="A154" t="s">
        <v>352</v>
      </c>
    </row>
    <row r="155" spans="1:2" x14ac:dyDescent="0.35">
      <c r="A155" t="s">
        <v>353</v>
      </c>
    </row>
    <row r="156" spans="1:2" x14ac:dyDescent="0.35">
      <c r="A156" t="s">
        <v>354</v>
      </c>
    </row>
    <row r="157" spans="1:2" x14ac:dyDescent="0.35">
      <c r="A157" t="s">
        <v>355</v>
      </c>
    </row>
    <row r="158" spans="1:2" x14ac:dyDescent="0.35">
      <c r="A158" t="s">
        <v>356</v>
      </c>
      <c r="B158">
        <v>-2193.6125280000001</v>
      </c>
    </row>
    <row r="161" spans="1:2" x14ac:dyDescent="0.35">
      <c r="A161" t="s">
        <v>360</v>
      </c>
    </row>
    <row r="162" spans="1:2" x14ac:dyDescent="0.35">
      <c r="A162" t="s">
        <v>361</v>
      </c>
    </row>
    <row r="163" spans="1:2" x14ac:dyDescent="0.35">
      <c r="A163" t="s">
        <v>362</v>
      </c>
    </row>
    <row r="164" spans="1:2" x14ac:dyDescent="0.35">
      <c r="A164" t="s">
        <v>363</v>
      </c>
    </row>
    <row r="165" spans="1:2" x14ac:dyDescent="0.35">
      <c r="A165" t="s">
        <v>364</v>
      </c>
    </row>
    <row r="166" spans="1:2" x14ac:dyDescent="0.35">
      <c r="A166" t="s">
        <v>365</v>
      </c>
    </row>
    <row r="167" spans="1:2" x14ac:dyDescent="0.35">
      <c r="A167" t="s">
        <v>366</v>
      </c>
    </row>
    <row r="168" spans="1:2" x14ac:dyDescent="0.35">
      <c r="A168" t="s">
        <v>367</v>
      </c>
    </row>
    <row r="169" spans="1:2" x14ac:dyDescent="0.35">
      <c r="A169" t="s">
        <v>368</v>
      </c>
    </row>
    <row r="170" spans="1:2" x14ac:dyDescent="0.35">
      <c r="A170" t="s">
        <v>370</v>
      </c>
      <c r="B170">
        <v>-2193.6069130000001</v>
      </c>
    </row>
    <row r="172" spans="1:2" x14ac:dyDescent="0.35">
      <c r="A172" t="s">
        <v>371</v>
      </c>
    </row>
    <row r="173" spans="1:2" x14ac:dyDescent="0.35">
      <c r="A173" t="s">
        <v>372</v>
      </c>
    </row>
    <row r="174" spans="1:2" x14ac:dyDescent="0.35">
      <c r="A174" t="s">
        <v>373</v>
      </c>
    </row>
    <row r="175" spans="1:2" x14ac:dyDescent="0.35">
      <c r="A175" t="s">
        <v>374</v>
      </c>
    </row>
    <row r="176" spans="1:2" x14ac:dyDescent="0.35">
      <c r="A176" t="s">
        <v>375</v>
      </c>
    </row>
    <row r="177" spans="1:2" x14ac:dyDescent="0.35">
      <c r="A177" t="s">
        <v>376</v>
      </c>
    </row>
    <row r="178" spans="1:2" x14ac:dyDescent="0.35">
      <c r="A178" t="s">
        <v>377</v>
      </c>
    </row>
    <row r="179" spans="1:2" x14ac:dyDescent="0.35">
      <c r="A179" t="s">
        <v>378</v>
      </c>
    </row>
    <row r="180" spans="1:2" x14ac:dyDescent="0.35">
      <c r="A180" t="s">
        <v>379</v>
      </c>
    </row>
    <row r="181" spans="1:2" x14ac:dyDescent="0.35">
      <c r="A181" t="s">
        <v>356</v>
      </c>
      <c r="B181">
        <v>-2193.4272209999999</v>
      </c>
    </row>
    <row r="183" spans="1:2" x14ac:dyDescent="0.35">
      <c r="A183" t="s">
        <v>158</v>
      </c>
    </row>
    <row r="184" spans="1:2" x14ac:dyDescent="0.35">
      <c r="A184" t="s">
        <v>381</v>
      </c>
    </row>
    <row r="185" spans="1:2" x14ac:dyDescent="0.35">
      <c r="A185" t="s">
        <v>382</v>
      </c>
    </row>
    <row r="186" spans="1:2" x14ac:dyDescent="0.35">
      <c r="A186" t="s">
        <v>383</v>
      </c>
    </row>
    <row r="187" spans="1:2" x14ac:dyDescent="0.35">
      <c r="A187" t="s">
        <v>384</v>
      </c>
    </row>
    <row r="188" spans="1:2" x14ac:dyDescent="0.35">
      <c r="A188" t="s">
        <v>385</v>
      </c>
    </row>
    <row r="189" spans="1:2" x14ac:dyDescent="0.35">
      <c r="A189" t="s">
        <v>386</v>
      </c>
    </row>
    <row r="190" spans="1:2" x14ac:dyDescent="0.35">
      <c r="A190" t="s">
        <v>387</v>
      </c>
    </row>
    <row r="191" spans="1:2" x14ac:dyDescent="0.35">
      <c r="A191" t="s">
        <v>388</v>
      </c>
    </row>
    <row r="192" spans="1:2" x14ac:dyDescent="0.35">
      <c r="A192" t="s">
        <v>356</v>
      </c>
      <c r="B192">
        <v>-2193.6107950000001</v>
      </c>
    </row>
    <row r="195" spans="1:1" x14ac:dyDescent="0.35">
      <c r="A195" t="s">
        <v>563</v>
      </c>
    </row>
    <row r="196" spans="1:1" x14ac:dyDescent="0.35">
      <c r="A196" t="s">
        <v>534</v>
      </c>
    </row>
    <row r="197" spans="1:1" x14ac:dyDescent="0.35">
      <c r="A197" t="s">
        <v>552</v>
      </c>
    </row>
    <row r="198" spans="1:1" x14ac:dyDescent="0.35">
      <c r="A198" t="s">
        <v>553</v>
      </c>
    </row>
    <row r="199" spans="1:1" x14ac:dyDescent="0.35">
      <c r="A199" t="s">
        <v>554</v>
      </c>
    </row>
    <row r="200" spans="1:1" x14ac:dyDescent="0.35">
      <c r="A200" t="s">
        <v>555</v>
      </c>
    </row>
    <row r="201" spans="1:1" x14ac:dyDescent="0.35">
      <c r="A201" t="s">
        <v>556</v>
      </c>
    </row>
    <row r="202" spans="1:1" x14ac:dyDescent="0.35">
      <c r="A202" t="s">
        <v>557</v>
      </c>
    </row>
    <row r="203" spans="1:1" x14ac:dyDescent="0.35">
      <c r="A203" t="s">
        <v>558</v>
      </c>
    </row>
    <row r="204" spans="1:1" x14ac:dyDescent="0.35">
      <c r="A204" t="s">
        <v>559</v>
      </c>
    </row>
    <row r="205" spans="1:1" x14ac:dyDescent="0.35">
      <c r="A205" t="s">
        <v>560</v>
      </c>
    </row>
    <row r="206" spans="1:1" x14ac:dyDescent="0.35">
      <c r="A206" t="s">
        <v>561</v>
      </c>
    </row>
  </sheetData>
  <sortState ref="G9:I24">
    <sortCondition ref="G9:G24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2"/>
  <sheetViews>
    <sheetView topLeftCell="E1" zoomScale="104" zoomScaleNormal="85" workbookViewId="0">
      <selection activeCell="H70" sqref="H70"/>
    </sheetView>
  </sheetViews>
  <sheetFormatPr defaultRowHeight="14.5" x14ac:dyDescent="0.35"/>
  <cols>
    <col min="1" max="1" width="37.81640625" bestFit="1" customWidth="1"/>
    <col min="2" max="2" width="35.81640625" style="24" bestFit="1" customWidth="1"/>
    <col min="3" max="3" width="18.7265625" bestFit="1" customWidth="1"/>
    <col min="5" max="5" width="20.7265625" bestFit="1" customWidth="1"/>
    <col min="6" max="6" width="17.7265625" customWidth="1"/>
    <col min="7" max="7" width="17.1796875" style="24" bestFit="1" customWidth="1"/>
    <col min="8" max="8" width="15.81640625" customWidth="1"/>
    <col min="9" max="9" width="21.26953125" customWidth="1"/>
    <col min="10" max="10" width="13.81640625" customWidth="1"/>
    <col min="11" max="11" width="9.26953125" bestFit="1" customWidth="1"/>
    <col min="13" max="13" width="16.54296875" bestFit="1" customWidth="1"/>
    <col min="14" max="14" width="12.453125" bestFit="1" customWidth="1"/>
  </cols>
  <sheetData>
    <row r="1" spans="1:9" x14ac:dyDescent="0.35">
      <c r="A1" t="s">
        <v>61</v>
      </c>
      <c r="B1" s="24" t="s">
        <v>62</v>
      </c>
      <c r="C1" t="s">
        <v>63</v>
      </c>
      <c r="D1" t="s">
        <v>138</v>
      </c>
    </row>
    <row r="2" spans="1:9" ht="15" thickBot="1" x14ac:dyDescent="0.4">
      <c r="A2" s="32" t="s">
        <v>38</v>
      </c>
      <c r="C2" s="32"/>
      <c r="G2" s="24" t="s">
        <v>70</v>
      </c>
    </row>
    <row r="3" spans="1:9" x14ac:dyDescent="0.35">
      <c r="A3" s="32" t="s">
        <v>39</v>
      </c>
      <c r="B3" s="24">
        <v>-2398.3887392500001</v>
      </c>
      <c r="C3" s="32" t="s">
        <v>55</v>
      </c>
      <c r="F3" s="33" t="s">
        <v>11</v>
      </c>
      <c r="G3" s="37">
        <v>-204.68172200000001</v>
      </c>
    </row>
    <row r="4" spans="1:9" x14ac:dyDescent="0.35">
      <c r="A4" s="32" t="s">
        <v>40</v>
      </c>
      <c r="B4" s="24">
        <v>0.44235400000000002</v>
      </c>
      <c r="C4" s="32" t="s">
        <v>57</v>
      </c>
      <c r="F4" s="34" t="s">
        <v>12</v>
      </c>
      <c r="G4" s="38">
        <v>-76.411471000000006</v>
      </c>
    </row>
    <row r="5" spans="1:9" x14ac:dyDescent="0.35">
      <c r="A5" s="32" t="s">
        <v>41</v>
      </c>
      <c r="B5" s="24">
        <v>0.48126999999999998</v>
      </c>
      <c r="C5" s="32"/>
      <c r="F5" s="34" t="s">
        <v>13</v>
      </c>
      <c r="G5" s="38">
        <v>-76.675348</v>
      </c>
    </row>
    <row r="6" spans="1:9" x14ac:dyDescent="0.35">
      <c r="A6" s="32" t="s">
        <v>42</v>
      </c>
      <c r="B6" s="24">
        <v>0.48221399999999998</v>
      </c>
      <c r="C6" s="32"/>
      <c r="E6" t="s">
        <v>72</v>
      </c>
      <c r="F6" s="35" t="s">
        <v>71</v>
      </c>
      <c r="G6" s="38">
        <v>-2602.4478899999999</v>
      </c>
    </row>
    <row r="7" spans="1:9" x14ac:dyDescent="0.35">
      <c r="A7" s="32" t="s">
        <v>43</v>
      </c>
      <c r="B7" s="24">
        <v>0.36247299999999999</v>
      </c>
      <c r="C7" s="32"/>
      <c r="E7" t="s">
        <v>75</v>
      </c>
      <c r="F7" s="34"/>
      <c r="G7" s="38"/>
    </row>
    <row r="8" spans="1:9" x14ac:dyDescent="0.35">
      <c r="A8" s="32" t="s">
        <v>44</v>
      </c>
      <c r="B8" s="24">
        <v>-2397.9463860000001</v>
      </c>
      <c r="C8" s="32"/>
      <c r="E8" t="s">
        <v>76</v>
      </c>
      <c r="F8" s="34"/>
      <c r="G8" s="38"/>
    </row>
    <row r="9" spans="1:9" x14ac:dyDescent="0.35">
      <c r="A9" s="32" t="s">
        <v>45</v>
      </c>
      <c r="B9" s="24">
        <v>-2397.9074690000002</v>
      </c>
      <c r="C9" s="32"/>
      <c r="E9" t="s">
        <v>77</v>
      </c>
      <c r="F9" s="34"/>
      <c r="G9" s="38"/>
    </row>
    <row r="10" spans="1:9" x14ac:dyDescent="0.35">
      <c r="A10" s="32" t="s">
        <v>46</v>
      </c>
      <c r="B10" s="24">
        <v>-2397.9065249999999</v>
      </c>
      <c r="C10" s="32"/>
      <c r="F10" s="34"/>
      <c r="G10" s="38"/>
    </row>
    <row r="11" spans="1:9" x14ac:dyDescent="0.35">
      <c r="A11" s="32" t="s">
        <v>47</v>
      </c>
      <c r="B11" s="24">
        <v>-2398.0262659999999</v>
      </c>
      <c r="C11" s="32"/>
      <c r="E11" t="s">
        <v>38</v>
      </c>
      <c r="F11" s="34" t="s">
        <v>66</v>
      </c>
      <c r="G11" s="39">
        <v>-2398.0262659999999</v>
      </c>
    </row>
    <row r="12" spans="1:9" x14ac:dyDescent="0.35">
      <c r="A12" s="32" t="s">
        <v>48</v>
      </c>
      <c r="C12" s="32"/>
      <c r="E12" t="s">
        <v>49</v>
      </c>
      <c r="F12" s="34" t="s">
        <v>67</v>
      </c>
      <c r="G12" s="39">
        <v>-2398.0290409999998</v>
      </c>
    </row>
    <row r="13" spans="1:9" x14ac:dyDescent="0.35">
      <c r="A13" s="32" t="s">
        <v>48</v>
      </c>
      <c r="C13" s="32"/>
      <c r="E13" t="s">
        <v>50</v>
      </c>
      <c r="F13" s="34" t="s">
        <v>68</v>
      </c>
      <c r="G13" s="39">
        <v>-2398.0272639999998</v>
      </c>
    </row>
    <row r="14" spans="1:9" ht="15" thickBot="1" x14ac:dyDescent="0.4">
      <c r="A14" s="32" t="s">
        <v>49</v>
      </c>
      <c r="C14" s="32"/>
      <c r="E14" t="s">
        <v>51</v>
      </c>
      <c r="F14" s="36" t="s">
        <v>69</v>
      </c>
      <c r="G14" s="40">
        <v>-2398.029567</v>
      </c>
    </row>
    <row r="15" spans="1:9" x14ac:dyDescent="0.35">
      <c r="A15" s="32" t="s">
        <v>39</v>
      </c>
      <c r="B15" s="24">
        <v>-2398.3904398999998</v>
      </c>
      <c r="C15" s="32" t="s">
        <v>58</v>
      </c>
      <c r="E15" s="62" t="s">
        <v>90</v>
      </c>
      <c r="F15" s="63" t="s">
        <v>132</v>
      </c>
      <c r="G15" s="64">
        <v>-2397.8370610000002</v>
      </c>
      <c r="H15" s="30"/>
      <c r="I15" s="30" t="s">
        <v>134</v>
      </c>
    </row>
    <row r="16" spans="1:9" x14ac:dyDescent="0.35">
      <c r="A16" s="32" t="s">
        <v>40</v>
      </c>
      <c r="B16" s="24">
        <v>0.442021</v>
      </c>
      <c r="C16" s="32" t="s">
        <v>59</v>
      </c>
      <c r="E16" s="44" t="s">
        <v>100</v>
      </c>
      <c r="F16" s="35" t="s">
        <v>133</v>
      </c>
      <c r="G16" s="24">
        <v>-2398.0321680000002</v>
      </c>
    </row>
    <row r="17" spans="1:18" x14ac:dyDescent="0.35">
      <c r="A17" s="32" t="s">
        <v>41</v>
      </c>
      <c r="B17" s="24">
        <v>0.48097200000000001</v>
      </c>
      <c r="C17" s="32"/>
      <c r="E17" t="s">
        <v>535</v>
      </c>
      <c r="F17" s="35" t="s">
        <v>132</v>
      </c>
      <c r="G17" s="24">
        <v>-2398.0327029999999</v>
      </c>
    </row>
    <row r="18" spans="1:18" x14ac:dyDescent="0.35">
      <c r="A18" s="32" t="s">
        <v>42</v>
      </c>
      <c r="B18" s="24">
        <v>0.48191600000000001</v>
      </c>
      <c r="C18" s="32"/>
    </row>
    <row r="19" spans="1:18" x14ac:dyDescent="0.35">
      <c r="A19" s="32" t="s">
        <v>43</v>
      </c>
      <c r="B19" s="24">
        <v>0.36139900000000003</v>
      </c>
      <c r="C19" s="32"/>
    </row>
    <row r="20" spans="1:18" x14ac:dyDescent="0.35">
      <c r="A20" s="32" t="s">
        <v>44</v>
      </c>
      <c r="B20" s="24">
        <v>-2397.9484189999998</v>
      </c>
      <c r="C20" s="32"/>
      <c r="L20" t="s">
        <v>87</v>
      </c>
      <c r="R20" t="s">
        <v>127</v>
      </c>
    </row>
    <row r="21" spans="1:18" x14ac:dyDescent="0.35">
      <c r="A21" s="32" t="s">
        <v>45</v>
      </c>
      <c r="B21" s="24">
        <v>-2397.9094679999998</v>
      </c>
      <c r="C21" s="32"/>
      <c r="E21" s="50"/>
      <c r="F21" s="50"/>
      <c r="G21" s="51" t="s">
        <v>79</v>
      </c>
      <c r="H21" s="50"/>
      <c r="I21" s="50" t="s">
        <v>80</v>
      </c>
      <c r="J21" s="50"/>
    </row>
    <row r="22" spans="1:18" ht="17" thickBot="1" x14ac:dyDescent="0.4">
      <c r="A22" s="32" t="s">
        <v>46</v>
      </c>
      <c r="B22" s="24">
        <v>-2397.9085230000001</v>
      </c>
      <c r="C22" s="32"/>
      <c r="E22" s="50" t="s">
        <v>65</v>
      </c>
      <c r="F22" s="50"/>
      <c r="G22" s="51" t="s">
        <v>84</v>
      </c>
      <c r="H22" s="52" t="s">
        <v>78</v>
      </c>
      <c r="I22" s="52" t="s">
        <v>83</v>
      </c>
      <c r="J22" s="50" t="s">
        <v>85</v>
      </c>
    </row>
    <row r="23" spans="1:18" x14ac:dyDescent="0.35">
      <c r="A23" s="32" t="s">
        <v>47</v>
      </c>
      <c r="B23" s="24">
        <v>-2398.0290409999998</v>
      </c>
      <c r="C23" s="32"/>
      <c r="E23" s="53" t="s">
        <v>66</v>
      </c>
      <c r="F23" s="50"/>
      <c r="G23" s="51">
        <f>$G$6+$G$5</f>
        <v>-2679.1232380000001</v>
      </c>
      <c r="H23" s="50"/>
      <c r="I23" s="51">
        <f t="shared" ref="I23:I24" si="0">$G11+$G$3+$G$4</f>
        <v>-2679.1194589999996</v>
      </c>
      <c r="J23" s="51">
        <f t="shared" ref="J23:J28" si="1">I23-G23</f>
        <v>3.7790000005770708E-3</v>
      </c>
      <c r="M23" t="s">
        <v>206</v>
      </c>
    </row>
    <row r="24" spans="1:18" x14ac:dyDescent="0.35">
      <c r="A24" s="32" t="s">
        <v>48</v>
      </c>
      <c r="C24" s="32"/>
      <c r="E24" s="54" t="s">
        <v>67</v>
      </c>
      <c r="F24" s="50"/>
      <c r="G24" s="51">
        <f t="shared" ref="G24:G28" si="2">$G$6+$G$5</f>
        <v>-2679.1232380000001</v>
      </c>
      <c r="H24" s="50"/>
      <c r="I24" s="51">
        <f t="shared" si="0"/>
        <v>-2679.1222339999995</v>
      </c>
      <c r="J24" s="51">
        <f t="shared" si="1"/>
        <v>1.0040000006483751E-3</v>
      </c>
      <c r="M24" s="41" t="s">
        <v>100</v>
      </c>
      <c r="N24" s="24">
        <f>MIN(B11,B23,B35,B47,B85)</f>
        <v>-2398.0321680000002</v>
      </c>
    </row>
    <row r="25" spans="1:18" x14ac:dyDescent="0.35">
      <c r="A25" s="32" t="s">
        <v>48</v>
      </c>
      <c r="C25" s="32"/>
      <c r="E25" s="54" t="s">
        <v>68</v>
      </c>
      <c r="F25" s="50"/>
      <c r="G25" s="51">
        <f t="shared" si="2"/>
        <v>-2679.1232380000001</v>
      </c>
      <c r="H25" s="50"/>
      <c r="I25" s="51">
        <f>$G13+$G$3+$G$4</f>
        <v>-2679.1204569999995</v>
      </c>
      <c r="J25" s="51">
        <f t="shared" si="1"/>
        <v>2.7810000005956681E-3</v>
      </c>
      <c r="M25" t="s">
        <v>225</v>
      </c>
      <c r="N25" s="24">
        <f>MAX(B11,B23,B35,B47,B85)-MIN(B11,B23,B35,B47,B85)</f>
        <v>5.9020000003329187E-3</v>
      </c>
    </row>
    <row r="26" spans="1:18" ht="15" thickBot="1" x14ac:dyDescent="0.4">
      <c r="A26" s="32" t="s">
        <v>50</v>
      </c>
      <c r="C26" s="32"/>
      <c r="E26" s="55" t="s">
        <v>69</v>
      </c>
      <c r="F26" s="50"/>
      <c r="G26" s="51">
        <f t="shared" si="2"/>
        <v>-2679.1232380000001</v>
      </c>
      <c r="H26" s="50"/>
      <c r="I26" s="51">
        <f>$G14+$G$3+$G$4</f>
        <v>-2679.1227599999997</v>
      </c>
      <c r="J26" s="51">
        <f t="shared" si="1"/>
        <v>4.7800000038478174E-4</v>
      </c>
      <c r="N26">
        <f>N25*2600</f>
        <v>15.345200000865589</v>
      </c>
      <c r="O26" t="s">
        <v>32</v>
      </c>
      <c r="Q26" t="s">
        <v>128</v>
      </c>
    </row>
    <row r="27" spans="1:18" x14ac:dyDescent="0.35">
      <c r="A27" s="32" t="s">
        <v>39</v>
      </c>
      <c r="B27" s="24">
        <v>-2398.3915329000001</v>
      </c>
      <c r="C27" s="32" t="s">
        <v>58</v>
      </c>
      <c r="E27" t="s">
        <v>130</v>
      </c>
      <c r="G27" s="51">
        <f t="shared" si="2"/>
        <v>-2679.1232380000001</v>
      </c>
      <c r="I27" s="51">
        <f>$G17+$G$3+$G$4</f>
        <v>-2679.1258959999996</v>
      </c>
      <c r="J27" s="51">
        <f t="shared" si="1"/>
        <v>-2.6579999994282844E-3</v>
      </c>
    </row>
    <row r="28" spans="1:18" x14ac:dyDescent="0.35">
      <c r="A28" s="32" t="s">
        <v>40</v>
      </c>
      <c r="B28" s="24">
        <v>0.44316899999999998</v>
      </c>
      <c r="C28" s="32" t="s">
        <v>59</v>
      </c>
      <c r="E28" t="s">
        <v>131</v>
      </c>
      <c r="G28" s="51">
        <f t="shared" si="2"/>
        <v>-2679.1232380000001</v>
      </c>
      <c r="I28" s="51">
        <f>$G16+$G$3+$G$4</f>
        <v>-2679.1253609999999</v>
      </c>
      <c r="J28" s="51">
        <f t="shared" si="1"/>
        <v>-2.122999999755848E-3</v>
      </c>
    </row>
    <row r="29" spans="1:18" x14ac:dyDescent="0.35">
      <c r="A29" s="32" t="s">
        <v>41</v>
      </c>
      <c r="B29" s="24">
        <v>0.48184199999999999</v>
      </c>
      <c r="C29" s="32"/>
    </row>
    <row r="30" spans="1:18" x14ac:dyDescent="0.35">
      <c r="A30" s="32" t="s">
        <v>42</v>
      </c>
      <c r="B30" s="24">
        <v>0.48278599999999999</v>
      </c>
      <c r="C30" s="32"/>
    </row>
    <row r="31" spans="1:18" x14ac:dyDescent="0.35">
      <c r="A31" s="32" t="s">
        <v>43</v>
      </c>
      <c r="B31" s="24">
        <v>0.36426900000000001</v>
      </c>
      <c r="C31" s="32"/>
    </row>
    <row r="32" spans="1:18" x14ac:dyDescent="0.35">
      <c r="A32" s="32" t="s">
        <v>44</v>
      </c>
      <c r="B32" s="24">
        <v>-2397.9483639999999</v>
      </c>
      <c r="C32" s="32"/>
    </row>
    <row r="33" spans="1:10" x14ac:dyDescent="0.35">
      <c r="A33" s="32" t="s">
        <v>45</v>
      </c>
      <c r="B33" s="24">
        <v>-2397.9096909999998</v>
      </c>
      <c r="C33" s="32"/>
    </row>
    <row r="34" spans="1:10" ht="18" thickBot="1" x14ac:dyDescent="0.5">
      <c r="A34" s="32" t="s">
        <v>46</v>
      </c>
      <c r="B34" s="24">
        <v>-2397.9087469999999</v>
      </c>
      <c r="C34" s="32"/>
      <c r="E34" s="56" t="s">
        <v>64</v>
      </c>
      <c r="F34" s="56"/>
      <c r="G34" s="57" t="s">
        <v>81</v>
      </c>
      <c r="H34" s="58" t="s">
        <v>78</v>
      </c>
      <c r="I34" s="58" t="s">
        <v>82</v>
      </c>
      <c r="J34" s="56" t="s">
        <v>86</v>
      </c>
    </row>
    <row r="35" spans="1:10" x14ac:dyDescent="0.35">
      <c r="A35" s="32" t="s">
        <v>47</v>
      </c>
      <c r="B35" s="24">
        <v>-2398.0272639999998</v>
      </c>
      <c r="C35" s="32"/>
      <c r="E35" s="59" t="s">
        <v>66</v>
      </c>
      <c r="F35" s="56"/>
      <c r="G35" s="57"/>
      <c r="H35" s="56"/>
      <c r="I35" s="57">
        <f t="shared" ref="I35:I36" si="3">$G11+$G$5</f>
        <v>-2474.7016140000001</v>
      </c>
      <c r="J35" s="56"/>
    </row>
    <row r="36" spans="1:10" x14ac:dyDescent="0.35">
      <c r="A36" s="32" t="s">
        <v>48</v>
      </c>
      <c r="C36" s="32"/>
      <c r="E36" s="60" t="s">
        <v>67</v>
      </c>
      <c r="F36" s="56"/>
      <c r="G36" s="57"/>
      <c r="H36" s="56"/>
      <c r="I36" s="57">
        <f t="shared" si="3"/>
        <v>-2474.704389</v>
      </c>
      <c r="J36" s="56"/>
    </row>
    <row r="37" spans="1:10" x14ac:dyDescent="0.35">
      <c r="A37" s="32" t="s">
        <v>48</v>
      </c>
      <c r="C37" s="32"/>
      <c r="E37" s="60" t="s">
        <v>68</v>
      </c>
      <c r="F37" s="56"/>
      <c r="G37" s="57"/>
      <c r="H37" s="56"/>
      <c r="I37" s="57">
        <f>$G13+$G$5</f>
        <v>-2474.702612</v>
      </c>
      <c r="J37" s="56"/>
    </row>
    <row r="38" spans="1:10" ht="15" thickBot="1" x14ac:dyDescent="0.4">
      <c r="A38" s="32" t="s">
        <v>51</v>
      </c>
      <c r="C38" s="32"/>
      <c r="E38" s="61" t="s">
        <v>69</v>
      </c>
      <c r="F38" s="56"/>
      <c r="G38" s="57"/>
      <c r="H38" s="56"/>
      <c r="I38" s="57">
        <f>$G14+$G$5</f>
        <v>-2474.7049150000003</v>
      </c>
      <c r="J38" s="56"/>
    </row>
    <row r="39" spans="1:10" x14ac:dyDescent="0.35">
      <c r="A39" s="32" t="s">
        <v>39</v>
      </c>
      <c r="B39" s="24">
        <v>-2398.39318159</v>
      </c>
      <c r="C39" s="32" t="s">
        <v>60</v>
      </c>
      <c r="E39" t="s">
        <v>130</v>
      </c>
      <c r="I39" s="57">
        <f>$G15+$G$5</f>
        <v>-2474.5124090000004</v>
      </c>
    </row>
    <row r="40" spans="1:10" x14ac:dyDescent="0.35">
      <c r="A40" s="32" t="s">
        <v>40</v>
      </c>
      <c r="B40" s="24">
        <v>0.44263000000000002</v>
      </c>
      <c r="C40" s="32" t="s">
        <v>57</v>
      </c>
      <c r="E40" t="s">
        <v>131</v>
      </c>
      <c r="I40" s="57">
        <f>$G16+$G$5</f>
        <v>-2474.7075160000004</v>
      </c>
    </row>
    <row r="41" spans="1:10" x14ac:dyDescent="0.35">
      <c r="A41" s="32" t="s">
        <v>41</v>
      </c>
      <c r="B41" s="24">
        <v>0.481319</v>
      </c>
      <c r="C41" s="32"/>
    </row>
    <row r="42" spans="1:10" x14ac:dyDescent="0.35">
      <c r="A42" s="32" t="s">
        <v>42</v>
      </c>
      <c r="B42" s="24">
        <v>0.482263</v>
      </c>
      <c r="C42" s="32"/>
    </row>
    <row r="43" spans="1:10" x14ac:dyDescent="0.35">
      <c r="A43" s="32" t="s">
        <v>43</v>
      </c>
      <c r="B43" s="24">
        <v>0.36361500000000002</v>
      </c>
      <c r="C43" s="32"/>
    </row>
    <row r="44" spans="1:10" x14ac:dyDescent="0.35">
      <c r="A44" s="32" t="s">
        <v>44</v>
      </c>
      <c r="B44" s="24">
        <v>-2397.9505519999998</v>
      </c>
      <c r="C44" s="32"/>
      <c r="G44" s="24" t="s">
        <v>577</v>
      </c>
      <c r="H44" s="66" t="s">
        <v>132</v>
      </c>
      <c r="I44" s="24">
        <f>MIN(J46:J51)</f>
        <v>-2398.0327029999999</v>
      </c>
    </row>
    <row r="45" spans="1:10" x14ac:dyDescent="0.35">
      <c r="A45" s="32" t="s">
        <v>45</v>
      </c>
      <c r="B45" s="24">
        <v>-2397.9118629999998</v>
      </c>
      <c r="C45" s="32"/>
      <c r="J45" s="24"/>
    </row>
    <row r="46" spans="1:10" x14ac:dyDescent="0.35">
      <c r="A46" s="32" t="s">
        <v>46</v>
      </c>
      <c r="B46" s="24">
        <v>-2397.910918</v>
      </c>
      <c r="C46" s="32"/>
      <c r="H46" s="41" t="s">
        <v>50</v>
      </c>
      <c r="I46" t="s">
        <v>68</v>
      </c>
      <c r="J46" s="45">
        <v>-2398.0272639999998</v>
      </c>
    </row>
    <row r="47" spans="1:10" x14ac:dyDescent="0.35">
      <c r="A47" s="32" t="s">
        <v>47</v>
      </c>
      <c r="B47" s="24">
        <v>-2398.029567</v>
      </c>
      <c r="C47" s="32"/>
      <c r="H47" s="41" t="s">
        <v>38</v>
      </c>
      <c r="I47" t="s">
        <v>66</v>
      </c>
      <c r="J47" s="45">
        <v>-2398.0262659999999</v>
      </c>
    </row>
    <row r="48" spans="1:10" x14ac:dyDescent="0.35">
      <c r="A48" s="32" t="s">
        <v>48</v>
      </c>
      <c r="C48" s="32"/>
      <c r="H48" s="41" t="s">
        <v>49</v>
      </c>
      <c r="I48" t="s">
        <v>67</v>
      </c>
      <c r="J48" s="45">
        <v>-2398.0290409999998</v>
      </c>
    </row>
    <row r="49" spans="1:11" x14ac:dyDescent="0.35">
      <c r="A49" s="32" t="s">
        <v>48</v>
      </c>
      <c r="C49" s="32"/>
      <c r="H49" t="s">
        <v>535</v>
      </c>
      <c r="I49" s="66" t="s">
        <v>132</v>
      </c>
      <c r="J49" s="24">
        <v>-2398.0327029999999</v>
      </c>
    </row>
    <row r="50" spans="1:11" x14ac:dyDescent="0.35">
      <c r="A50" s="47" t="s">
        <v>52</v>
      </c>
      <c r="B50" s="48"/>
      <c r="C50" s="47"/>
      <c r="H50" s="41" t="s">
        <v>51</v>
      </c>
      <c r="I50" t="s">
        <v>69</v>
      </c>
      <c r="J50" s="45">
        <v>-2398.029567</v>
      </c>
    </row>
    <row r="51" spans="1:11" x14ac:dyDescent="0.35">
      <c r="A51" s="47" t="s">
        <v>39</v>
      </c>
      <c r="B51" s="48">
        <v>-2398.3977923799998</v>
      </c>
      <c r="C51" s="47" t="s">
        <v>60</v>
      </c>
      <c r="H51" s="88" t="s">
        <v>100</v>
      </c>
      <c r="I51" t="s">
        <v>133</v>
      </c>
      <c r="J51" s="89">
        <v>-2398.0321680000002</v>
      </c>
    </row>
    <row r="52" spans="1:11" x14ac:dyDescent="0.35">
      <c r="A52" s="47" t="s">
        <v>40</v>
      </c>
      <c r="B52" s="48">
        <v>0.44326199999999999</v>
      </c>
      <c r="C52" s="47" t="s">
        <v>57</v>
      </c>
      <c r="J52" s="24"/>
      <c r="K52" s="24"/>
    </row>
    <row r="53" spans="1:11" x14ac:dyDescent="0.35">
      <c r="A53" s="47" t="s">
        <v>41</v>
      </c>
      <c r="B53" s="48">
        <v>0.48143000000000002</v>
      </c>
      <c r="C53" s="47"/>
      <c r="J53" s="24"/>
    </row>
    <row r="54" spans="1:11" x14ac:dyDescent="0.35">
      <c r="A54" s="47" t="s">
        <v>42</v>
      </c>
      <c r="B54" s="48">
        <v>0.48237400000000002</v>
      </c>
      <c r="C54" s="47"/>
      <c r="J54" s="24"/>
    </row>
    <row r="55" spans="1:11" x14ac:dyDescent="0.35">
      <c r="A55" s="47" t="s">
        <v>43</v>
      </c>
      <c r="B55" s="48">
        <v>0.36560799999999999</v>
      </c>
      <c r="C55" s="47"/>
      <c r="J55" s="24"/>
    </row>
    <row r="56" spans="1:11" x14ac:dyDescent="0.35">
      <c r="A56" s="47" t="s">
        <v>44</v>
      </c>
      <c r="B56" s="48">
        <v>-2397.95453</v>
      </c>
      <c r="C56" s="47"/>
      <c r="J56" s="24"/>
    </row>
    <row r="57" spans="1:11" x14ac:dyDescent="0.35">
      <c r="A57" s="47" t="s">
        <v>45</v>
      </c>
      <c r="B57" s="48">
        <v>-2397.9163619999999</v>
      </c>
      <c r="C57" s="47"/>
      <c r="J57" s="24"/>
    </row>
    <row r="58" spans="1:11" x14ac:dyDescent="0.35">
      <c r="A58" s="47" t="s">
        <v>46</v>
      </c>
      <c r="B58" s="48">
        <v>-2397.915418</v>
      </c>
      <c r="C58" s="47"/>
      <c r="J58" s="24"/>
    </row>
    <row r="59" spans="1:11" x14ac:dyDescent="0.35">
      <c r="A59" s="47" t="s">
        <v>47</v>
      </c>
      <c r="B59" s="48">
        <v>-2398.0321840000001</v>
      </c>
      <c r="C59" s="47"/>
      <c r="J59" s="24"/>
    </row>
    <row r="60" spans="1:11" x14ac:dyDescent="0.35">
      <c r="A60" s="47" t="s">
        <v>48</v>
      </c>
      <c r="B60" s="48"/>
      <c r="C60" s="47"/>
      <c r="J60" s="24"/>
    </row>
    <row r="61" spans="1:11" x14ac:dyDescent="0.35">
      <c r="A61" s="32" t="s">
        <v>48</v>
      </c>
      <c r="C61" s="32"/>
      <c r="J61" s="24"/>
    </row>
    <row r="62" spans="1:11" x14ac:dyDescent="0.35">
      <c r="A62" s="32" t="s">
        <v>129</v>
      </c>
      <c r="C62" s="32"/>
      <c r="J62" s="24"/>
    </row>
    <row r="63" spans="1:11" x14ac:dyDescent="0.35">
      <c r="A63" s="32"/>
      <c r="C63" s="32"/>
      <c r="J63" s="24"/>
    </row>
    <row r="64" spans="1:11" x14ac:dyDescent="0.35">
      <c r="A64" s="65" t="s">
        <v>90</v>
      </c>
      <c r="B64" s="64"/>
      <c r="C64" s="65"/>
      <c r="D64" t="s">
        <v>139</v>
      </c>
      <c r="J64" s="24"/>
    </row>
    <row r="65" spans="1:10" x14ac:dyDescent="0.35">
      <c r="A65" s="65" t="s">
        <v>39</v>
      </c>
      <c r="B65" s="64">
        <v>-2398.2049738000001</v>
      </c>
      <c r="C65" s="65"/>
      <c r="J65" s="24"/>
    </row>
    <row r="66" spans="1:10" x14ac:dyDescent="0.35">
      <c r="A66" s="65" t="s">
        <v>40</v>
      </c>
      <c r="B66" s="64">
        <v>0.445633</v>
      </c>
      <c r="C66" s="65"/>
      <c r="J66" s="24"/>
    </row>
    <row r="67" spans="1:10" x14ac:dyDescent="0.35">
      <c r="A67" s="65" t="s">
        <v>41</v>
      </c>
      <c r="B67" s="64">
        <v>0.48392499999999999</v>
      </c>
      <c r="C67" s="65"/>
      <c r="J67" s="24"/>
    </row>
    <row r="68" spans="1:10" x14ac:dyDescent="0.35">
      <c r="A68" s="65" t="s">
        <v>42</v>
      </c>
      <c r="B68" s="64">
        <v>0.48486899999999999</v>
      </c>
      <c r="C68" s="65"/>
      <c r="J68" s="24"/>
    </row>
    <row r="69" spans="1:10" x14ac:dyDescent="0.35">
      <c r="A69" s="65" t="s">
        <v>43</v>
      </c>
      <c r="B69" s="64">
        <v>0.36791299999999999</v>
      </c>
      <c r="C69" s="65"/>
      <c r="J69" s="24"/>
    </row>
    <row r="70" spans="1:10" x14ac:dyDescent="0.35">
      <c r="A70" s="65" t="s">
        <v>44</v>
      </c>
      <c r="B70" s="64">
        <v>-2397.7593409999999</v>
      </c>
      <c r="C70" s="65"/>
      <c r="J70" s="24"/>
    </row>
    <row r="71" spans="1:10" x14ac:dyDescent="0.35">
      <c r="A71" s="65" t="s">
        <v>45</v>
      </c>
      <c r="B71" s="64">
        <v>-2397.7210490000002</v>
      </c>
      <c r="C71" s="65"/>
      <c r="J71" s="24"/>
    </row>
    <row r="72" spans="1:10" x14ac:dyDescent="0.35">
      <c r="A72" s="65" t="s">
        <v>46</v>
      </c>
      <c r="B72" s="64">
        <v>-2397.720104</v>
      </c>
      <c r="C72" s="65"/>
      <c r="J72" s="24"/>
    </row>
    <row r="73" spans="1:10" x14ac:dyDescent="0.35">
      <c r="A73" s="65" t="s">
        <v>47</v>
      </c>
      <c r="B73" s="64">
        <v>-2397.8370610000002</v>
      </c>
      <c r="C73" s="65"/>
      <c r="J73" s="24"/>
    </row>
    <row r="74" spans="1:10" x14ac:dyDescent="0.35">
      <c r="A74" s="32"/>
      <c r="C74" s="32"/>
      <c r="J74" s="24"/>
    </row>
    <row r="75" spans="1:10" x14ac:dyDescent="0.35">
      <c r="A75" s="32"/>
      <c r="C75" s="32"/>
      <c r="J75" s="24"/>
    </row>
    <row r="76" spans="1:10" x14ac:dyDescent="0.35">
      <c r="A76" s="32" t="s">
        <v>100</v>
      </c>
      <c r="C76" s="32"/>
      <c r="J76" s="24"/>
    </row>
    <row r="77" spans="1:10" x14ac:dyDescent="0.35">
      <c r="A77" s="32" t="s">
        <v>39</v>
      </c>
      <c r="B77" s="24">
        <v>-2398.3977923799998</v>
      </c>
      <c r="C77" s="32"/>
      <c r="J77" s="24"/>
    </row>
    <row r="78" spans="1:10" x14ac:dyDescent="0.35">
      <c r="A78" s="32" t="s">
        <v>40</v>
      </c>
      <c r="B78" s="24">
        <v>0.44327100000000003</v>
      </c>
      <c r="C78" s="32"/>
      <c r="J78" s="24"/>
    </row>
    <row r="79" spans="1:10" x14ac:dyDescent="0.35">
      <c r="A79" s="32" t="s">
        <v>41</v>
      </c>
      <c r="B79" s="24">
        <v>0.48143599999999998</v>
      </c>
      <c r="C79" s="32"/>
      <c r="J79" s="24"/>
    </row>
    <row r="80" spans="1:10" x14ac:dyDescent="0.35">
      <c r="A80" s="32" t="s">
        <v>42</v>
      </c>
      <c r="B80" s="24">
        <v>0.48237999999999998</v>
      </c>
      <c r="C80" s="32"/>
      <c r="J80" s="24"/>
    </row>
    <row r="81" spans="1:3" x14ac:dyDescent="0.35">
      <c r="A81" s="32" t="s">
        <v>43</v>
      </c>
      <c r="B81" s="24">
        <v>0.36562499999999998</v>
      </c>
      <c r="C81" s="32"/>
    </row>
    <row r="82" spans="1:3" x14ac:dyDescent="0.35">
      <c r="A82" s="32" t="s">
        <v>44</v>
      </c>
      <c r="B82" s="24">
        <v>-2397.9545210000001</v>
      </c>
      <c r="C82" s="32"/>
    </row>
    <row r="83" spans="1:3" x14ac:dyDescent="0.35">
      <c r="A83" s="32" t="s">
        <v>45</v>
      </c>
      <c r="B83" s="24">
        <v>-2397.9163570000001</v>
      </c>
      <c r="C83" s="32"/>
    </row>
    <row r="84" spans="1:3" x14ac:dyDescent="0.35">
      <c r="A84" s="32" t="s">
        <v>46</v>
      </c>
      <c r="B84" s="24">
        <v>-2397.9154119999998</v>
      </c>
      <c r="C84" s="32"/>
    </row>
    <row r="85" spans="1:3" x14ac:dyDescent="0.35">
      <c r="A85" s="32" t="s">
        <v>47</v>
      </c>
      <c r="B85" s="24">
        <v>-2398.0321680000002</v>
      </c>
      <c r="C85" s="32"/>
    </row>
    <row r="87" spans="1:3" x14ac:dyDescent="0.35">
      <c r="A87" s="84" t="s">
        <v>525</v>
      </c>
      <c r="B87" s="91"/>
      <c r="C87" t="s">
        <v>188</v>
      </c>
    </row>
    <row r="88" spans="1:3" x14ac:dyDescent="0.35">
      <c r="A88" s="84" t="s">
        <v>526</v>
      </c>
      <c r="B88" s="91"/>
    </row>
    <row r="89" spans="1:3" x14ac:dyDescent="0.35">
      <c r="A89" s="84" t="s">
        <v>527</v>
      </c>
      <c r="B89" s="91"/>
    </row>
    <row r="90" spans="1:3" x14ac:dyDescent="0.35">
      <c r="A90" s="84" t="s">
        <v>528</v>
      </c>
      <c r="B90" s="91"/>
    </row>
    <row r="91" spans="1:3" x14ac:dyDescent="0.35">
      <c r="A91" s="84" t="s">
        <v>529</v>
      </c>
      <c r="B91" s="91"/>
    </row>
    <row r="92" spans="1:3" x14ac:dyDescent="0.35">
      <c r="A92" s="84" t="s">
        <v>530</v>
      </c>
      <c r="B92" s="91"/>
    </row>
    <row r="93" spans="1:3" x14ac:dyDescent="0.35">
      <c r="A93" s="84" t="s">
        <v>531</v>
      </c>
      <c r="B93" s="91"/>
    </row>
    <row r="94" spans="1:3" x14ac:dyDescent="0.35">
      <c r="A94" s="84" t="s">
        <v>532</v>
      </c>
      <c r="B94" s="91"/>
    </row>
    <row r="95" spans="1:3" x14ac:dyDescent="0.35">
      <c r="A95" s="84" t="s">
        <v>533</v>
      </c>
      <c r="B95" s="91"/>
    </row>
    <row r="96" spans="1:3" x14ac:dyDescent="0.35">
      <c r="A96" s="84" t="s">
        <v>370</v>
      </c>
      <c r="B96" s="91">
        <v>-2398.0314050000002</v>
      </c>
    </row>
    <row r="97" spans="1:3" x14ac:dyDescent="0.35">
      <c r="A97" s="84"/>
      <c r="B97" s="91" t="s">
        <v>547</v>
      </c>
    </row>
    <row r="98" spans="1:3" x14ac:dyDescent="0.35">
      <c r="A98" s="84"/>
      <c r="B98" s="91"/>
    </row>
    <row r="99" spans="1:3" x14ac:dyDescent="0.35">
      <c r="A99" s="24" t="s">
        <v>578</v>
      </c>
    </row>
    <row r="100" spans="1:3" x14ac:dyDescent="0.35">
      <c r="A100" t="s">
        <v>534</v>
      </c>
    </row>
    <row r="101" spans="1:3" x14ac:dyDescent="0.35">
      <c r="A101" t="s">
        <v>535</v>
      </c>
    </row>
    <row r="102" spans="1:3" x14ac:dyDescent="0.35">
      <c r="A102" t="s">
        <v>536</v>
      </c>
    </row>
    <row r="103" spans="1:3" x14ac:dyDescent="0.35">
      <c r="A103" t="s">
        <v>537</v>
      </c>
    </row>
    <row r="104" spans="1:3" x14ac:dyDescent="0.35">
      <c r="A104" t="s">
        <v>538</v>
      </c>
    </row>
    <row r="105" spans="1:3" x14ac:dyDescent="0.35">
      <c r="A105" t="s">
        <v>539</v>
      </c>
    </row>
    <row r="106" spans="1:3" x14ac:dyDescent="0.35">
      <c r="A106" t="s">
        <v>540</v>
      </c>
    </row>
    <row r="107" spans="1:3" x14ac:dyDescent="0.35">
      <c r="A107" t="s">
        <v>541</v>
      </c>
    </row>
    <row r="108" spans="1:3" x14ac:dyDescent="0.35">
      <c r="A108" t="s">
        <v>542</v>
      </c>
    </row>
    <row r="109" spans="1:3" x14ac:dyDescent="0.35">
      <c r="A109" t="s">
        <v>543</v>
      </c>
    </row>
    <row r="110" spans="1:3" x14ac:dyDescent="0.35">
      <c r="A110" t="s">
        <v>544</v>
      </c>
      <c r="B110" s="24">
        <v>-2398.0327029999999</v>
      </c>
    </row>
    <row r="111" spans="1:3" x14ac:dyDescent="0.35">
      <c r="B111" s="90">
        <f>(B110-B96)*2600</f>
        <v>-3.3747999991646793</v>
      </c>
      <c r="C111" s="2" t="s">
        <v>545</v>
      </c>
    </row>
    <row r="112" spans="1:3" x14ac:dyDescent="0.35">
      <c r="B112" s="90"/>
      <c r="C112" s="2" t="s">
        <v>546</v>
      </c>
    </row>
  </sheetData>
  <sortState ref="H46:J51">
    <sortCondition ref="I46:I51"/>
  </sortState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5"/>
  <sheetViews>
    <sheetView workbookViewId="0">
      <selection activeCell="A14" sqref="A14:B23"/>
    </sheetView>
  </sheetViews>
  <sheetFormatPr defaultRowHeight="14.5" x14ac:dyDescent="0.35"/>
  <cols>
    <col min="1" max="1" width="37.81640625" bestFit="1" customWidth="1"/>
    <col min="2" max="2" width="35.81640625" bestFit="1" customWidth="1"/>
  </cols>
  <sheetData>
    <row r="1" spans="1:2" x14ac:dyDescent="0.35">
      <c r="A1" t="s">
        <v>53</v>
      </c>
      <c r="B1" t="s">
        <v>54</v>
      </c>
    </row>
    <row r="2" spans="1:2" x14ac:dyDescent="0.35">
      <c r="A2" s="32" t="s">
        <v>90</v>
      </c>
      <c r="B2" s="32"/>
    </row>
    <row r="3" spans="1:2" x14ac:dyDescent="0.35">
      <c r="A3" s="32" t="s">
        <v>39</v>
      </c>
      <c r="B3" s="32" t="s">
        <v>91</v>
      </c>
    </row>
    <row r="4" spans="1:2" x14ac:dyDescent="0.35">
      <c r="A4" s="32" t="s">
        <v>40</v>
      </c>
      <c r="B4" s="32" t="s">
        <v>92</v>
      </c>
    </row>
    <row r="5" spans="1:2" x14ac:dyDescent="0.35">
      <c r="A5" s="32" t="s">
        <v>41</v>
      </c>
      <c r="B5" s="32" t="s">
        <v>93</v>
      </c>
    </row>
    <row r="6" spans="1:2" x14ac:dyDescent="0.35">
      <c r="A6" s="32" t="s">
        <v>42</v>
      </c>
      <c r="B6" s="32" t="s">
        <v>94</v>
      </c>
    </row>
    <row r="7" spans="1:2" x14ac:dyDescent="0.35">
      <c r="A7" s="32" t="s">
        <v>43</v>
      </c>
      <c r="B7" s="32" t="s">
        <v>95</v>
      </c>
    </row>
    <row r="8" spans="1:2" x14ac:dyDescent="0.35">
      <c r="A8" s="32" t="s">
        <v>44</v>
      </c>
      <c r="B8" s="32" t="s">
        <v>96</v>
      </c>
    </row>
    <row r="9" spans="1:2" x14ac:dyDescent="0.35">
      <c r="A9" s="32" t="s">
        <v>45</v>
      </c>
      <c r="B9" s="32" t="s">
        <v>97</v>
      </c>
    </row>
    <row r="10" spans="1:2" x14ac:dyDescent="0.35">
      <c r="A10" s="32" t="s">
        <v>46</v>
      </c>
      <c r="B10" s="32" t="s">
        <v>98</v>
      </c>
    </row>
    <row r="11" spans="1:2" x14ac:dyDescent="0.35">
      <c r="A11" s="32" t="s">
        <v>47</v>
      </c>
      <c r="B11" s="32" t="s">
        <v>99</v>
      </c>
    </row>
    <row r="12" spans="1:2" x14ac:dyDescent="0.35">
      <c r="A12" s="32" t="s">
        <v>48</v>
      </c>
      <c r="B12" s="32"/>
    </row>
    <row r="13" spans="1:2" x14ac:dyDescent="0.35">
      <c r="A13" s="32" t="s">
        <v>48</v>
      </c>
      <c r="B13" s="32"/>
    </row>
    <row r="14" spans="1:2" x14ac:dyDescent="0.35">
      <c r="A14" s="32" t="s">
        <v>100</v>
      </c>
      <c r="B14" s="32"/>
    </row>
    <row r="15" spans="1:2" x14ac:dyDescent="0.35">
      <c r="A15" s="32" t="s">
        <v>39</v>
      </c>
      <c r="B15" s="32" t="s">
        <v>101</v>
      </c>
    </row>
    <row r="16" spans="1:2" x14ac:dyDescent="0.35">
      <c r="A16" s="32" t="s">
        <v>40</v>
      </c>
      <c r="B16" s="32" t="s">
        <v>102</v>
      </c>
    </row>
    <row r="17" spans="1:2" x14ac:dyDescent="0.35">
      <c r="A17" s="32" t="s">
        <v>41</v>
      </c>
      <c r="B17" s="32" t="s">
        <v>103</v>
      </c>
    </row>
    <row r="18" spans="1:2" x14ac:dyDescent="0.35">
      <c r="A18" s="32" t="s">
        <v>42</v>
      </c>
      <c r="B18" s="32" t="s">
        <v>104</v>
      </c>
    </row>
    <row r="19" spans="1:2" x14ac:dyDescent="0.35">
      <c r="A19" s="32" t="s">
        <v>43</v>
      </c>
      <c r="B19" s="32" t="s">
        <v>105</v>
      </c>
    </row>
    <row r="20" spans="1:2" x14ac:dyDescent="0.35">
      <c r="A20" s="32" t="s">
        <v>44</v>
      </c>
      <c r="B20" s="32" t="s">
        <v>106</v>
      </c>
    </row>
    <row r="21" spans="1:2" x14ac:dyDescent="0.35">
      <c r="A21" s="32" t="s">
        <v>45</v>
      </c>
      <c r="B21" s="32" t="s">
        <v>107</v>
      </c>
    </row>
    <row r="22" spans="1:2" x14ac:dyDescent="0.35">
      <c r="A22" s="32" t="s">
        <v>46</v>
      </c>
      <c r="B22" s="32" t="s">
        <v>108</v>
      </c>
    </row>
    <row r="23" spans="1:2" x14ac:dyDescent="0.35">
      <c r="A23" s="32" t="s">
        <v>47</v>
      </c>
      <c r="B23" s="32" t="s">
        <v>109</v>
      </c>
    </row>
    <row r="24" spans="1:2" x14ac:dyDescent="0.35">
      <c r="A24" s="32" t="s">
        <v>48</v>
      </c>
      <c r="B24" s="32"/>
    </row>
    <row r="25" spans="1:2" x14ac:dyDescent="0.35">
      <c r="A25" s="32" t="s">
        <v>48</v>
      </c>
      <c r="B25" s="3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4"/>
  <sheetViews>
    <sheetView workbookViewId="0">
      <selection activeCell="A2" sqref="A2"/>
    </sheetView>
  </sheetViews>
  <sheetFormatPr defaultRowHeight="14.5" x14ac:dyDescent="0.35"/>
  <cols>
    <col min="1" max="1" width="37.81640625" bestFit="1" customWidth="1"/>
    <col min="2" max="2" width="35.81640625" bestFit="1" customWidth="1"/>
  </cols>
  <sheetData>
    <row r="1" spans="1:3" x14ac:dyDescent="0.35">
      <c r="A1" t="s">
        <v>53</v>
      </c>
      <c r="B1" t="s">
        <v>54</v>
      </c>
      <c r="C1" t="s">
        <v>56</v>
      </c>
    </row>
    <row r="2" spans="1:3" x14ac:dyDescent="0.35">
      <c r="A2" s="32" t="s">
        <v>73</v>
      </c>
      <c r="B2" s="32"/>
      <c r="C2" s="32"/>
    </row>
    <row r="3" spans="1:3" x14ac:dyDescent="0.35">
      <c r="A3" s="32" t="s">
        <v>39</v>
      </c>
      <c r="B3" s="32">
        <v>-2602.8083210599998</v>
      </c>
      <c r="C3" s="32" t="s">
        <v>74</v>
      </c>
    </row>
    <row r="4" spans="1:3" x14ac:dyDescent="0.35">
      <c r="A4" s="32" t="s">
        <v>40</v>
      </c>
      <c r="B4" s="32">
        <v>0.44486199999999998</v>
      </c>
      <c r="C4" s="32" t="s">
        <v>59</v>
      </c>
    </row>
    <row r="5" spans="1:3" x14ac:dyDescent="0.35">
      <c r="A5" s="32" t="s">
        <v>41</v>
      </c>
      <c r="B5" s="32">
        <v>0.48603499999999999</v>
      </c>
      <c r="C5" s="32"/>
    </row>
    <row r="6" spans="1:3" x14ac:dyDescent="0.35">
      <c r="A6" s="32" t="s">
        <v>42</v>
      </c>
      <c r="B6" s="32">
        <v>0.486979</v>
      </c>
      <c r="C6" s="32"/>
    </row>
    <row r="7" spans="1:3" x14ac:dyDescent="0.35">
      <c r="A7" s="32" t="s">
        <v>43</v>
      </c>
      <c r="B7" s="32">
        <v>0.360431</v>
      </c>
      <c r="C7" s="32"/>
    </row>
    <row r="8" spans="1:3" x14ac:dyDescent="0.35">
      <c r="A8" s="32" t="s">
        <v>44</v>
      </c>
      <c r="B8" s="32">
        <v>-2602.3634590000001</v>
      </c>
      <c r="C8" s="32"/>
    </row>
    <row r="9" spans="1:3" x14ac:dyDescent="0.35">
      <c r="A9" s="32" t="s">
        <v>45</v>
      </c>
      <c r="B9" s="32">
        <v>-2602.3222860000001</v>
      </c>
      <c r="C9" s="32"/>
    </row>
    <row r="10" spans="1:3" x14ac:dyDescent="0.35">
      <c r="A10" s="32" t="s">
        <v>46</v>
      </c>
      <c r="B10" s="32">
        <v>-2602.3213420000002</v>
      </c>
      <c r="C10" s="32"/>
    </row>
    <row r="11" spans="1:3" x14ac:dyDescent="0.35">
      <c r="A11" s="32" t="s">
        <v>47</v>
      </c>
      <c r="B11" s="32">
        <v>-2602.4478899999999</v>
      </c>
      <c r="C11" s="32"/>
    </row>
    <row r="12" spans="1:3" x14ac:dyDescent="0.35">
      <c r="A12" s="32" t="s">
        <v>48</v>
      </c>
      <c r="B12" s="32"/>
      <c r="C12" s="32"/>
    </row>
    <row r="13" spans="1:3" x14ac:dyDescent="0.35">
      <c r="A13" s="32" t="s">
        <v>48</v>
      </c>
      <c r="B13" s="32"/>
      <c r="C13" s="32"/>
    </row>
    <row r="14" spans="1:3" x14ac:dyDescent="0.35">
      <c r="A14" s="32" t="s">
        <v>550</v>
      </c>
      <c r="B14" s="32"/>
      <c r="C14" s="3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1"/>
  <sheetViews>
    <sheetView workbookViewId="0">
      <selection activeCell="G11" sqref="G11"/>
    </sheetView>
  </sheetViews>
  <sheetFormatPr defaultRowHeight="14.5" x14ac:dyDescent="0.35"/>
  <cols>
    <col min="1" max="1" width="37.81640625" bestFit="1" customWidth="1"/>
    <col min="2" max="2" width="35.81640625" bestFit="1" customWidth="1"/>
  </cols>
  <sheetData>
    <row r="1" spans="1:3" x14ac:dyDescent="0.35">
      <c r="A1" t="s">
        <v>53</v>
      </c>
      <c r="B1" t="s">
        <v>54</v>
      </c>
      <c r="C1" t="s">
        <v>56</v>
      </c>
    </row>
    <row r="2" spans="1:3" x14ac:dyDescent="0.35">
      <c r="A2" s="32" t="s">
        <v>119</v>
      </c>
      <c r="B2" s="32"/>
      <c r="C2" s="32"/>
    </row>
    <row r="3" spans="1:3" x14ac:dyDescent="0.35">
      <c r="A3" s="32" t="s">
        <v>39</v>
      </c>
      <c r="B3" s="32">
        <v>-2398.41861337</v>
      </c>
      <c r="C3" s="32" t="s">
        <v>60</v>
      </c>
    </row>
    <row r="4" spans="1:3" x14ac:dyDescent="0.35">
      <c r="A4" s="32" t="s">
        <v>40</v>
      </c>
      <c r="B4" s="32">
        <v>0.43995699999999999</v>
      </c>
      <c r="C4" s="32" t="s">
        <v>59</v>
      </c>
    </row>
    <row r="5" spans="1:3" x14ac:dyDescent="0.35">
      <c r="A5" s="32" t="s">
        <v>41</v>
      </c>
      <c r="B5" s="32">
        <v>0.47599799999999998</v>
      </c>
      <c r="C5" s="32"/>
    </row>
    <row r="6" spans="1:3" x14ac:dyDescent="0.35">
      <c r="A6" s="32" t="s">
        <v>42</v>
      </c>
      <c r="B6" s="32">
        <v>0.47694199999999998</v>
      </c>
      <c r="C6" s="32"/>
    </row>
    <row r="7" spans="1:3" x14ac:dyDescent="0.35">
      <c r="A7" s="32" t="s">
        <v>43</v>
      </c>
      <c r="B7" s="32">
        <v>0.36523899999999998</v>
      </c>
      <c r="C7" s="32"/>
    </row>
    <row r="8" spans="1:3" x14ac:dyDescent="0.35">
      <c r="A8" s="32" t="s">
        <v>44</v>
      </c>
      <c r="B8" s="32">
        <v>-2397.9786570000001</v>
      </c>
      <c r="C8" s="32"/>
    </row>
    <row r="9" spans="1:3" x14ac:dyDescent="0.35">
      <c r="A9" s="32" t="s">
        <v>45</v>
      </c>
      <c r="B9" s="32">
        <v>-2397.9426159999998</v>
      </c>
      <c r="C9" s="32"/>
    </row>
    <row r="10" spans="1:3" x14ac:dyDescent="0.35">
      <c r="A10" s="32" t="s">
        <v>46</v>
      </c>
      <c r="B10" s="32">
        <v>-2397.941671</v>
      </c>
      <c r="C10" s="32"/>
    </row>
    <row r="11" spans="1:3" x14ac:dyDescent="0.35">
      <c r="A11" s="32" t="s">
        <v>47</v>
      </c>
      <c r="B11" s="32">
        <v>-2398.0533740000001</v>
      </c>
      <c r="C11" s="32"/>
    </row>
    <row r="12" spans="1:3" x14ac:dyDescent="0.35">
      <c r="A12" s="32" t="s">
        <v>48</v>
      </c>
      <c r="B12" s="32"/>
      <c r="C12" s="32"/>
    </row>
    <row r="13" spans="1:3" x14ac:dyDescent="0.35">
      <c r="A13" s="32" t="s">
        <v>48</v>
      </c>
      <c r="B13" s="32"/>
      <c r="C13" s="32"/>
    </row>
    <row r="14" spans="1:3" x14ac:dyDescent="0.35">
      <c r="A14" s="32" t="s">
        <v>49</v>
      </c>
      <c r="B14" s="32"/>
      <c r="C14" s="32"/>
    </row>
    <row r="15" spans="1:3" x14ac:dyDescent="0.35">
      <c r="A15" s="32" t="s">
        <v>39</v>
      </c>
      <c r="B15" s="32">
        <v>-2398.4233596700001</v>
      </c>
      <c r="C15" s="32"/>
    </row>
    <row r="16" spans="1:3" x14ac:dyDescent="0.35">
      <c r="A16" s="32" t="s">
        <v>40</v>
      </c>
      <c r="B16" s="32">
        <v>0.442413</v>
      </c>
      <c r="C16" s="32"/>
    </row>
    <row r="17" spans="1:3" x14ac:dyDescent="0.35">
      <c r="A17" s="32" t="s">
        <v>41</v>
      </c>
      <c r="B17" s="32">
        <v>0.47585100000000002</v>
      </c>
      <c r="C17" s="32"/>
    </row>
    <row r="18" spans="1:3" x14ac:dyDescent="0.35">
      <c r="A18" s="32" t="s">
        <v>42</v>
      </c>
      <c r="B18" s="32">
        <v>0.47679500000000002</v>
      </c>
      <c r="C18" s="32"/>
    </row>
    <row r="19" spans="1:3" x14ac:dyDescent="0.35">
      <c r="A19" s="32" t="s">
        <v>43</v>
      </c>
      <c r="B19" s="32">
        <v>0.37318499999999999</v>
      </c>
      <c r="C19" s="32"/>
    </row>
    <row r="20" spans="1:3" x14ac:dyDescent="0.35">
      <c r="A20" s="32" t="s">
        <v>44</v>
      </c>
      <c r="B20" s="32">
        <v>-2397.980947</v>
      </c>
      <c r="C20" s="32"/>
    </row>
    <row r="21" spans="1:3" x14ac:dyDescent="0.35">
      <c r="A21" s="32" t="s">
        <v>45</v>
      </c>
      <c r="B21" s="32">
        <v>-2397.9475090000001</v>
      </c>
      <c r="C21" s="32"/>
    </row>
    <row r="22" spans="1:3" x14ac:dyDescent="0.35">
      <c r="A22" s="32" t="s">
        <v>46</v>
      </c>
      <c r="B22" s="32">
        <v>-2397.9465639999999</v>
      </c>
      <c r="C22" s="32"/>
    </row>
    <row r="23" spans="1:3" x14ac:dyDescent="0.35">
      <c r="A23" s="32" t="s">
        <v>47</v>
      </c>
      <c r="B23" s="32">
        <v>-2398.0501749999999</v>
      </c>
      <c r="C23" s="32"/>
    </row>
    <row r="24" spans="1:3" x14ac:dyDescent="0.35">
      <c r="A24" s="32" t="s">
        <v>48</v>
      </c>
      <c r="B24" s="32"/>
      <c r="C24" s="32"/>
    </row>
    <row r="25" spans="1:3" x14ac:dyDescent="0.35">
      <c r="A25" s="32" t="s">
        <v>48</v>
      </c>
      <c r="B25" s="32"/>
      <c r="C25" s="32"/>
    </row>
    <row r="26" spans="1:3" x14ac:dyDescent="0.35">
      <c r="A26" s="32" t="s">
        <v>51</v>
      </c>
      <c r="B26" s="32"/>
      <c r="C26" s="32"/>
    </row>
    <row r="27" spans="1:3" x14ac:dyDescent="0.35">
      <c r="A27" s="32" t="s">
        <v>39</v>
      </c>
      <c r="B27" s="32">
        <v>-2398.4238824899999</v>
      </c>
      <c r="C27" s="32"/>
    </row>
    <row r="28" spans="1:3" x14ac:dyDescent="0.35">
      <c r="A28" s="32" t="s">
        <v>40</v>
      </c>
      <c r="B28" s="32">
        <v>0.44377100000000003</v>
      </c>
      <c r="C28" s="32"/>
    </row>
    <row r="29" spans="1:3" x14ac:dyDescent="0.35">
      <c r="A29" s="32" t="s">
        <v>41</v>
      </c>
      <c r="B29" s="32">
        <v>0.479327</v>
      </c>
      <c r="C29" s="32"/>
    </row>
    <row r="30" spans="1:3" x14ac:dyDescent="0.35">
      <c r="A30" s="32" t="s">
        <v>42</v>
      </c>
      <c r="B30" s="32">
        <v>0.480271</v>
      </c>
      <c r="C30" s="32"/>
    </row>
    <row r="31" spans="1:3" x14ac:dyDescent="0.35">
      <c r="A31" s="32" t="s">
        <v>43</v>
      </c>
      <c r="B31" s="32">
        <v>0.37211100000000003</v>
      </c>
      <c r="C31" s="32"/>
    </row>
    <row r="32" spans="1:3" x14ac:dyDescent="0.35">
      <c r="A32" s="32" t="s">
        <v>44</v>
      </c>
      <c r="B32" s="32">
        <v>-2397.9801120000002</v>
      </c>
      <c r="C32" s="32"/>
    </row>
    <row r="33" spans="1:3" x14ac:dyDescent="0.35">
      <c r="A33" s="32" t="s">
        <v>45</v>
      </c>
      <c r="B33" s="32">
        <v>-2397.944555</v>
      </c>
      <c r="C33" s="32"/>
    </row>
    <row r="34" spans="1:3" x14ac:dyDescent="0.35">
      <c r="A34" s="32" t="s">
        <v>46</v>
      </c>
      <c r="B34" s="32">
        <v>-2397.9436110000001</v>
      </c>
      <c r="C34" s="32"/>
    </row>
    <row r="35" spans="1:3" x14ac:dyDescent="0.35">
      <c r="A35" s="32" t="s">
        <v>47</v>
      </c>
      <c r="B35" s="32">
        <v>-2398.0517719999998</v>
      </c>
      <c r="C35" s="32"/>
    </row>
    <row r="36" spans="1:3" x14ac:dyDescent="0.35">
      <c r="A36" s="32" t="s">
        <v>48</v>
      </c>
      <c r="B36" s="32"/>
      <c r="C36" s="32"/>
    </row>
    <row r="37" spans="1:3" x14ac:dyDescent="0.35">
      <c r="A37" s="32" t="s">
        <v>48</v>
      </c>
      <c r="B37" s="32"/>
      <c r="C37" s="32"/>
    </row>
    <row r="38" spans="1:3" x14ac:dyDescent="0.35">
      <c r="A38" s="32" t="s">
        <v>120</v>
      </c>
      <c r="B38" s="32"/>
      <c r="C38" s="32"/>
    </row>
    <row r="39" spans="1:3" x14ac:dyDescent="0.35">
      <c r="A39" s="32" t="s">
        <v>39</v>
      </c>
      <c r="B39" s="32">
        <v>-2398.4191697400001</v>
      </c>
      <c r="C39" s="32"/>
    </row>
    <row r="40" spans="1:3" x14ac:dyDescent="0.35">
      <c r="A40" s="32" t="s">
        <v>40</v>
      </c>
      <c r="B40" s="32">
        <v>0.44153999999999999</v>
      </c>
      <c r="C40" s="32"/>
    </row>
    <row r="41" spans="1:3" x14ac:dyDescent="0.35">
      <c r="A41" s="32" t="s">
        <v>41</v>
      </c>
      <c r="B41" s="32">
        <v>0.477881</v>
      </c>
      <c r="C41" s="32"/>
    </row>
    <row r="42" spans="1:3" x14ac:dyDescent="0.35">
      <c r="A42" s="32" t="s">
        <v>42</v>
      </c>
      <c r="B42" s="32">
        <v>0.478825</v>
      </c>
      <c r="C42" s="32"/>
    </row>
    <row r="43" spans="1:3" x14ac:dyDescent="0.35">
      <c r="A43" s="32" t="s">
        <v>43</v>
      </c>
      <c r="B43" s="32">
        <v>0.36803900000000001</v>
      </c>
      <c r="C43" s="32"/>
    </row>
    <row r="44" spans="1:3" x14ac:dyDescent="0.35">
      <c r="A44" s="32" t="s">
        <v>44</v>
      </c>
      <c r="B44" s="32">
        <v>-2397.9776299999999</v>
      </c>
      <c r="C44" s="32"/>
    </row>
    <row r="45" spans="1:3" x14ac:dyDescent="0.35">
      <c r="A45" s="32" t="s">
        <v>45</v>
      </c>
      <c r="B45" s="32">
        <v>-2397.9412889999999</v>
      </c>
      <c r="C45" s="32"/>
    </row>
    <row r="46" spans="1:3" x14ac:dyDescent="0.35">
      <c r="A46" s="32" t="s">
        <v>46</v>
      </c>
      <c r="B46" s="32">
        <v>-2397.9403440000001</v>
      </c>
      <c r="C46" s="32"/>
    </row>
    <row r="47" spans="1:3" x14ac:dyDescent="0.35">
      <c r="A47" s="32" t="s">
        <v>47</v>
      </c>
      <c r="B47" s="32">
        <v>-2398.0511299999998</v>
      </c>
      <c r="C47" s="32"/>
    </row>
    <row r="48" spans="1:3" x14ac:dyDescent="0.35">
      <c r="A48" s="32" t="s">
        <v>48</v>
      </c>
      <c r="B48" s="32"/>
      <c r="C48" s="32"/>
    </row>
    <row r="49" spans="1:3" x14ac:dyDescent="0.35">
      <c r="A49" s="32" t="s">
        <v>48</v>
      </c>
      <c r="B49" s="32"/>
      <c r="C49" s="32"/>
    </row>
    <row r="50" spans="1:3" x14ac:dyDescent="0.35">
      <c r="A50" s="47" t="s">
        <v>52</v>
      </c>
      <c r="B50" s="47"/>
      <c r="C50" s="32"/>
    </row>
    <row r="51" spans="1:3" x14ac:dyDescent="0.35">
      <c r="A51" s="47" t="s">
        <v>39</v>
      </c>
      <c r="B51" s="47">
        <v>-2398.4291947299998</v>
      </c>
      <c r="C51" s="32"/>
    </row>
    <row r="52" spans="1:3" x14ac:dyDescent="0.35">
      <c r="A52" s="47" t="s">
        <v>40</v>
      </c>
      <c r="B52" s="47">
        <v>0.43942199999999998</v>
      </c>
      <c r="C52" s="32"/>
    </row>
    <row r="53" spans="1:3" x14ac:dyDescent="0.35">
      <c r="A53" s="47" t="s">
        <v>41</v>
      </c>
      <c r="B53" s="47">
        <v>0.47410999999999998</v>
      </c>
      <c r="C53" s="32"/>
    </row>
    <row r="54" spans="1:3" x14ac:dyDescent="0.35">
      <c r="A54" s="47" t="s">
        <v>42</v>
      </c>
      <c r="B54" s="47">
        <v>0.47505399999999998</v>
      </c>
      <c r="C54" s="32"/>
    </row>
    <row r="55" spans="1:3" x14ac:dyDescent="0.35">
      <c r="A55" s="47" t="s">
        <v>43</v>
      </c>
      <c r="B55" s="47">
        <v>0.36806899999999998</v>
      </c>
      <c r="C55" s="32"/>
    </row>
    <row r="56" spans="1:3" x14ac:dyDescent="0.35">
      <c r="A56" s="47" t="s">
        <v>44</v>
      </c>
      <c r="B56" s="47">
        <v>-2397.9897719999999</v>
      </c>
      <c r="C56" s="32"/>
    </row>
    <row r="57" spans="1:3" x14ac:dyDescent="0.35">
      <c r="A57" s="47" t="s">
        <v>45</v>
      </c>
      <c r="B57" s="47">
        <v>-2397.9550850000001</v>
      </c>
      <c r="C57" s="32"/>
    </row>
    <row r="58" spans="1:3" x14ac:dyDescent="0.35">
      <c r="A58" s="47" t="s">
        <v>46</v>
      </c>
      <c r="B58" s="47">
        <v>-2397.9541410000002</v>
      </c>
      <c r="C58" s="32"/>
    </row>
    <row r="59" spans="1:3" x14ac:dyDescent="0.35">
      <c r="A59" s="47" t="s">
        <v>47</v>
      </c>
      <c r="B59" s="47">
        <v>-2398.0611260000001</v>
      </c>
      <c r="C59" s="32"/>
    </row>
    <row r="60" spans="1:3" x14ac:dyDescent="0.35">
      <c r="A60" s="47" t="s">
        <v>48</v>
      </c>
      <c r="B60" s="47"/>
      <c r="C60" s="32"/>
    </row>
    <row r="61" spans="1:3" x14ac:dyDescent="0.35">
      <c r="A61" s="32" t="s">
        <v>48</v>
      </c>
      <c r="B61" s="32"/>
      <c r="C61" s="3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9C9867-EE2D-4F28-A3E5-C72CB73426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MMopt or nah</vt:lpstr>
      <vt:lpstr>full_list</vt:lpstr>
      <vt:lpstr>Collation</vt:lpstr>
      <vt:lpstr>Sheet1</vt:lpstr>
      <vt:lpstr>Lvl1-Dimer</vt:lpstr>
      <vt:lpstr>Lvl2</vt:lpstr>
      <vt:lpstr>Lvl3</vt:lpstr>
      <vt:lpstr>Lvl4</vt:lpstr>
      <vt:lpstr>Lvl5</vt:lpstr>
      <vt:lpstr>63_63-route</vt:lpstr>
      <vt:lpstr>NC3_3-hi</vt:lpstr>
      <vt:lpstr>Lvl5_solv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Amy Lai</cp:lastModifiedBy>
  <dcterms:created xsi:type="dcterms:W3CDTF">2018-04-26T11:56:27Z</dcterms:created>
  <dcterms:modified xsi:type="dcterms:W3CDTF">2019-06-25T20:36:14Z</dcterms:modified>
</cp:coreProperties>
</file>