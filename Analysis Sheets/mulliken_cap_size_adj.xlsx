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jo\Google Drive\NC_locals\Analysis Sheets\"/>
    </mc:Choice>
  </mc:AlternateContent>
  <xr:revisionPtr revIDLastSave="0" documentId="13_ncr:1_{6358E0CE-C298-4220-9557-0074A308E4C5}" xr6:coauthVersionLast="41" xr6:coauthVersionMax="41" xr10:uidLastSave="{00000000-0000-0000-0000-000000000000}"/>
  <bookViews>
    <workbookView xWindow="2964" yWindow="2964" windowWidth="17280" windowHeight="8964" firstSheet="6" activeTab="7" xr2:uid="{00000000-000D-0000-FFFF-FFFF00000000}"/>
  </bookViews>
  <sheets>
    <sheet name="cap" sheetId="1" r:id="rId1"/>
    <sheet name="Cap_clean" sheetId="2" r:id="rId2"/>
    <sheet name="Size" sheetId="3" r:id="rId3"/>
    <sheet name="Size_clean" sheetId="4" r:id="rId4"/>
    <sheet name="_Size (2)" sheetId="5" r:id="rId5"/>
    <sheet name="_Size (2)_clean" sheetId="6" r:id="rId6"/>
    <sheet name="Size (adj)" sheetId="7" r:id="rId7"/>
    <sheet name="Size (adj)_clean 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5" i="7" l="1"/>
  <c r="P25" i="7" s="1"/>
  <c r="L24" i="7"/>
  <c r="L23" i="7"/>
  <c r="P23" i="7" s="1"/>
  <c r="L22" i="7"/>
  <c r="L21" i="7"/>
  <c r="L20" i="7"/>
  <c r="P20" i="7"/>
  <c r="L19" i="7"/>
  <c r="N19" i="7" s="1"/>
  <c r="W19" i="7" s="1"/>
  <c r="L18" i="7"/>
  <c r="P18" i="7" s="1"/>
  <c r="L17" i="7"/>
  <c r="P17" i="7" s="1"/>
  <c r="L16" i="7"/>
  <c r="P16" i="7" s="1"/>
  <c r="L15" i="7"/>
  <c r="P15" i="7" s="1"/>
  <c r="L14" i="7"/>
  <c r="P14" i="7" s="1"/>
  <c r="L13" i="7"/>
  <c r="P13" i="7" s="1"/>
  <c r="L12" i="7"/>
  <c r="P12" i="7" s="1"/>
  <c r="L11" i="7"/>
  <c r="L10" i="7"/>
  <c r="P10" i="7" s="1"/>
  <c r="P11" i="7"/>
  <c r="L9" i="7"/>
  <c r="P9" i="7" s="1"/>
  <c r="L8" i="7"/>
  <c r="P8" i="7" s="1"/>
  <c r="L7" i="7"/>
  <c r="N7" i="7" s="1"/>
  <c r="L6" i="7"/>
  <c r="L5" i="7"/>
  <c r="L4" i="7"/>
  <c r="N4" i="7" s="1"/>
  <c r="L3" i="7"/>
  <c r="P3" i="7" s="1"/>
  <c r="L2" i="7"/>
  <c r="P2" i="7" s="1"/>
  <c r="R5" i="7"/>
  <c r="R4" i="7"/>
  <c r="R2" i="7"/>
  <c r="R25" i="7"/>
  <c r="R24" i="7"/>
  <c r="P24" i="7"/>
  <c r="N24" i="7"/>
  <c r="U24" i="7" s="1"/>
  <c r="R23" i="7"/>
  <c r="R22" i="7"/>
  <c r="P22" i="7"/>
  <c r="N22" i="7"/>
  <c r="U22" i="7" s="1"/>
  <c r="R21" i="7"/>
  <c r="P21" i="7"/>
  <c r="N21" i="7"/>
  <c r="W21" i="7" s="1"/>
  <c r="R20" i="7"/>
  <c r="R19" i="7"/>
  <c r="R18" i="7"/>
  <c r="R17" i="7"/>
  <c r="R16" i="7"/>
  <c r="R15" i="7"/>
  <c r="R14" i="7"/>
  <c r="R13" i="7"/>
  <c r="R12" i="7"/>
  <c r="R11" i="7"/>
  <c r="R10" i="7"/>
  <c r="N10" i="7"/>
  <c r="U10" i="7" s="1"/>
  <c r="R9" i="7"/>
  <c r="R8" i="7"/>
  <c r="N8" i="7"/>
  <c r="W8" i="7" s="1"/>
  <c r="R7" i="7"/>
  <c r="R6" i="7"/>
  <c r="P6" i="7"/>
  <c r="N6" i="7"/>
  <c r="W6" i="7" s="1"/>
  <c r="N5" i="7"/>
  <c r="W5" i="7" s="1"/>
  <c r="R3" i="7"/>
  <c r="N25" i="7" l="1"/>
  <c r="W24" i="7"/>
  <c r="N23" i="7"/>
  <c r="N20" i="7"/>
  <c r="P19" i="7"/>
  <c r="N18" i="7"/>
  <c r="N17" i="7"/>
  <c r="N16" i="7"/>
  <c r="W16" i="7" s="1"/>
  <c r="N15" i="7"/>
  <c r="N14" i="7"/>
  <c r="W14" i="7" s="1"/>
  <c r="N13" i="7"/>
  <c r="W13" i="7" s="1"/>
  <c r="N12" i="7"/>
  <c r="N11" i="7"/>
  <c r="W11" i="7" s="1"/>
  <c r="W10" i="7"/>
  <c r="N9" i="7"/>
  <c r="U7" i="7"/>
  <c r="W7" i="7"/>
  <c r="P7" i="7"/>
  <c r="W4" i="7"/>
  <c r="U4" i="7"/>
  <c r="N3" i="7"/>
  <c r="W3" i="7" s="1"/>
  <c r="N2" i="7"/>
  <c r="P5" i="7"/>
  <c r="P4" i="7"/>
  <c r="W22" i="7"/>
  <c r="U6" i="7"/>
  <c r="U14" i="7"/>
  <c r="U19" i="7"/>
  <c r="U8" i="7"/>
  <c r="U16" i="7"/>
  <c r="U5" i="7"/>
  <c r="U13" i="7"/>
  <c r="U21" i="7"/>
  <c r="R25" i="5"/>
  <c r="P25" i="5"/>
  <c r="N25" i="5"/>
  <c r="W25" i="5" s="1"/>
  <c r="R24" i="5"/>
  <c r="P24" i="5"/>
  <c r="N24" i="5"/>
  <c r="W24" i="5" s="1"/>
  <c r="R23" i="5"/>
  <c r="P23" i="5"/>
  <c r="N23" i="5"/>
  <c r="W23" i="5" s="1"/>
  <c r="R22" i="5"/>
  <c r="P22" i="5"/>
  <c r="N22" i="5"/>
  <c r="U22" i="5" s="1"/>
  <c r="R21" i="5"/>
  <c r="P21" i="5"/>
  <c r="N21" i="5"/>
  <c r="W21" i="5" s="1"/>
  <c r="R20" i="5"/>
  <c r="P20" i="5"/>
  <c r="N20" i="5"/>
  <c r="W20" i="5" s="1"/>
  <c r="R19" i="5"/>
  <c r="P19" i="5"/>
  <c r="N19" i="5"/>
  <c r="U19" i="5" s="1"/>
  <c r="R18" i="5"/>
  <c r="P18" i="5"/>
  <c r="N18" i="5"/>
  <c r="U18" i="5" s="1"/>
  <c r="R17" i="5"/>
  <c r="P17" i="5"/>
  <c r="N17" i="5"/>
  <c r="W17" i="5" s="1"/>
  <c r="U16" i="5"/>
  <c r="R16" i="5"/>
  <c r="P16" i="5"/>
  <c r="N16" i="5"/>
  <c r="W16" i="5" s="1"/>
  <c r="R15" i="5"/>
  <c r="P15" i="5"/>
  <c r="N15" i="5"/>
  <c r="W15" i="5" s="1"/>
  <c r="R14" i="5"/>
  <c r="P14" i="5"/>
  <c r="N14" i="5"/>
  <c r="U14" i="5" s="1"/>
  <c r="U13" i="5"/>
  <c r="R13" i="5"/>
  <c r="P13" i="5"/>
  <c r="N13" i="5"/>
  <c r="W13" i="5" s="1"/>
  <c r="R12" i="5"/>
  <c r="P12" i="5"/>
  <c r="N12" i="5"/>
  <c r="W12" i="5" s="1"/>
  <c r="W11" i="5"/>
  <c r="U11" i="5"/>
  <c r="R11" i="5"/>
  <c r="P11" i="5"/>
  <c r="N11" i="5"/>
  <c r="R10" i="5"/>
  <c r="P10" i="5"/>
  <c r="N10" i="5"/>
  <c r="U10" i="5" s="1"/>
  <c r="W9" i="5"/>
  <c r="R9" i="5"/>
  <c r="P9" i="5"/>
  <c r="N9" i="5"/>
  <c r="U9" i="5" s="1"/>
  <c r="U8" i="5"/>
  <c r="R8" i="5"/>
  <c r="P8" i="5"/>
  <c r="N8" i="5"/>
  <c r="W8" i="5" s="1"/>
  <c r="R7" i="5"/>
  <c r="P7" i="5"/>
  <c r="N7" i="5"/>
  <c r="W7" i="5" s="1"/>
  <c r="R6" i="5"/>
  <c r="P6" i="5"/>
  <c r="N6" i="5"/>
  <c r="U6" i="5" s="1"/>
  <c r="R5" i="5"/>
  <c r="P5" i="5"/>
  <c r="N5" i="5"/>
  <c r="W5" i="5" s="1"/>
  <c r="R4" i="5"/>
  <c r="P4" i="5"/>
  <c r="N4" i="5"/>
  <c r="W4" i="5" s="1"/>
  <c r="R3" i="5"/>
  <c r="P3" i="5"/>
  <c r="N3" i="5"/>
  <c r="W3" i="5" s="1"/>
  <c r="R2" i="5"/>
  <c r="P2" i="5"/>
  <c r="N2" i="5"/>
  <c r="W2" i="5" s="1"/>
  <c r="W25" i="7" l="1"/>
  <c r="U25" i="7"/>
  <c r="W23" i="7"/>
  <c r="U23" i="7"/>
  <c r="W20" i="7"/>
  <c r="U20" i="7"/>
  <c r="U18" i="7"/>
  <c r="W18" i="7"/>
  <c r="W17" i="7"/>
  <c r="U17" i="7"/>
  <c r="W15" i="7"/>
  <c r="U15" i="7"/>
  <c r="U12" i="7"/>
  <c r="W12" i="7"/>
  <c r="U11" i="7"/>
  <c r="U9" i="7"/>
  <c r="W9" i="7"/>
  <c r="U3" i="7"/>
  <c r="U2" i="7"/>
  <c r="W2" i="7"/>
  <c r="U17" i="5"/>
  <c r="W10" i="5"/>
  <c r="U21" i="5"/>
  <c r="W18" i="5"/>
  <c r="U5" i="5"/>
  <c r="W19" i="5"/>
  <c r="U3" i="5"/>
  <c r="W6" i="5"/>
  <c r="W14" i="5"/>
  <c r="W22" i="5"/>
  <c r="U24" i="5"/>
  <c r="U2" i="5"/>
  <c r="U23" i="5"/>
  <c r="U7" i="5"/>
  <c r="U15" i="5"/>
  <c r="U4" i="5"/>
  <c r="U12" i="5"/>
  <c r="U20" i="5"/>
  <c r="U25" i="5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" i="3"/>
  <c r="G17" i="2"/>
  <c r="I17" i="2"/>
  <c r="K17" i="2"/>
  <c r="G57" i="2"/>
  <c r="I57" i="2"/>
  <c r="K57" i="2"/>
  <c r="G58" i="2"/>
  <c r="I58" i="2"/>
  <c r="K58" i="2"/>
  <c r="G59" i="2"/>
  <c r="I59" i="2"/>
  <c r="K59" i="2"/>
  <c r="G60" i="2"/>
  <c r="I60" i="2"/>
  <c r="K60" i="2"/>
  <c r="G61" i="2"/>
  <c r="I61" i="2"/>
  <c r="K61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<sst xmlns="http://schemas.openxmlformats.org/spreadsheetml/2006/main" count="349" uniqueCount="68">
  <si>
    <t>CH3CH3</t>
  </si>
  <si>
    <t>NC3_3</t>
  </si>
  <si>
    <t>Mulliken</t>
  </si>
  <si>
    <t>Charges</t>
  </si>
  <si>
    <t>R</t>
  </si>
  <si>
    <t>N=</t>
  </si>
  <si>
    <t>OH_CH3</t>
  </si>
  <si>
    <t>CH3_OH</t>
  </si>
  <si>
    <t>R2 Ocap</t>
  </si>
  <si>
    <t>R2 Hcap</t>
  </si>
  <si>
    <t>R1 Ocap</t>
  </si>
  <si>
    <t>R1 Hcap</t>
  </si>
  <si>
    <t>R2 Ccap</t>
  </si>
  <si>
    <t>R1 Ccap</t>
  </si>
  <si>
    <t>Index</t>
  </si>
  <si>
    <t>Capping atom</t>
  </si>
  <si>
    <t>CH3CH3-CH3OH</t>
  </si>
  <si>
    <t>CH3OH-OHCH3</t>
  </si>
  <si>
    <t>CH3CH3-OHCH3</t>
  </si>
  <si>
    <t>C6</t>
  </si>
  <si>
    <t>C3</t>
  </si>
  <si>
    <t>R2C3</t>
  </si>
  <si>
    <t>R2C2</t>
  </si>
  <si>
    <t>N=76</t>
  </si>
  <si>
    <t>NC2_0_2</t>
  </si>
  <si>
    <t>O1</t>
  </si>
  <si>
    <t>C1</t>
  </si>
  <si>
    <t>C1H</t>
  </si>
  <si>
    <t>C2</t>
  </si>
  <si>
    <t>C2H</t>
  </si>
  <si>
    <t>N1Ox</t>
  </si>
  <si>
    <t>N1Ot1</t>
  </si>
  <si>
    <t>N1Ot2</t>
  </si>
  <si>
    <t>C3O</t>
  </si>
  <si>
    <t>C3OH</t>
  </si>
  <si>
    <t>C3H</t>
  </si>
  <si>
    <t>C4</t>
  </si>
  <si>
    <t>C4H</t>
  </si>
  <si>
    <t>C4 Ocap</t>
  </si>
  <si>
    <t>C1 Ocap</t>
  </si>
  <si>
    <t>C5</t>
  </si>
  <si>
    <t>C5H</t>
  </si>
  <si>
    <t>C6H1</t>
  </si>
  <si>
    <t>C6H2</t>
  </si>
  <si>
    <t>C6O</t>
  </si>
  <si>
    <t>C6OH</t>
  </si>
  <si>
    <t>monomer</t>
  </si>
  <si>
    <t>N1</t>
  </si>
  <si>
    <t>dimer</t>
  </si>
  <si>
    <t>trimer</t>
  </si>
  <si>
    <t>trimer-dimer</t>
  </si>
  <si>
    <t>trimer-monomer</t>
  </si>
  <si>
    <t>dimer-monomer</t>
  </si>
  <si>
    <t>a.u.</t>
  </si>
  <si>
    <t>In kj/mol</t>
  </si>
  <si>
    <t>In eV</t>
  </si>
  <si>
    <t>R1 Analysis</t>
  </si>
  <si>
    <t>Ring 1</t>
  </si>
  <si>
    <t>Monomer</t>
  </si>
  <si>
    <t>Dimer</t>
  </si>
  <si>
    <t>Trimer</t>
  </si>
  <si>
    <t>Trimer-Dimer</t>
  </si>
  <si>
    <t>Trimer-Monomer</t>
  </si>
  <si>
    <t>CH3_CH3-NC2_0_2tworun.fchk</t>
  </si>
  <si>
    <t>N=72</t>
  </si>
  <si>
    <t>switched relative to the others</t>
  </si>
  <si>
    <t>adj_NC2_0_2-ztworun.fchk</t>
  </si>
  <si>
    <t>NC2_0_2 N=76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</si>
</sst>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E+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18" fillId="0" borderId="0" xfId="0" applyNumberFormat="1" applyFont="1"/>
    <xf numFmtId="1" fontId="18" fillId="0" borderId="0" xfId="0" applyNumberFormat="1" applyFont="1"/>
    <xf numFmtId="0" fontId="18" fillId="0" borderId="0" xfId="0" applyFont="1"/>
    <xf numFmtId="164" fontId="0" fillId="33" borderId="0" xfId="0" applyNumberFormat="1" applyFill="1"/>
    <xf numFmtId="0" fontId="0" fillId="33" borderId="0" xfId="0" applyFill="1"/>
    <xf numFmtId="0" fontId="16" fillId="0" borderId="0" xfId="0" applyFont="1"/>
    <xf numFmtId="0" fontId="0" fillId="0" borderId="10" xfId="0" applyBorder="1"/>
    <xf numFmtId="0" fontId="0" fillId="0" borderId="11" xfId="0" applyBorder="1"/>
    <xf numFmtId="164" fontId="0" fillId="0" borderId="12" xfId="0" applyNumberFormat="1" applyBorder="1"/>
    <xf numFmtId="164" fontId="0" fillId="0" borderId="13" xfId="0" applyNumberFormat="1" applyBorder="1"/>
    <xf numFmtId="164" fontId="18" fillId="0" borderId="12" xfId="0" applyNumberFormat="1" applyFont="1" applyBorder="1"/>
    <xf numFmtId="164" fontId="18" fillId="0" borderId="13" xfId="0" applyNumberFormat="1" applyFont="1" applyBorder="1"/>
    <xf numFmtId="164" fontId="18" fillId="0" borderId="14" xfId="0" applyNumberFormat="1" applyFont="1" applyBorder="1"/>
    <xf numFmtId="164" fontId="18" fillId="0" borderId="15" xfId="0" applyNumberFormat="1" applyFont="1" applyBorder="1"/>
    <xf numFmtId="164" fontId="0" fillId="34" borderId="0" xfId="0" applyNumberFormat="1" applyFill="1"/>
    <xf numFmtId="0" fontId="14" fillId="0" borderId="0" xfId="0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"/>
  <sheetViews>
    <sheetView topLeftCell="A25" zoomScale="76" workbookViewId="0">
      <selection activeCell="A61" sqref="A61:XFD61"/>
    </sheetView>
  </sheetViews>
  <sheetFormatPr defaultRowHeight="14.4" x14ac:dyDescent="0.3"/>
  <cols>
    <col min="1" max="2" width="8.88671875" style="1"/>
    <col min="3" max="3" width="9.21875" style="1" bestFit="1" customWidth="1"/>
    <col min="4" max="6" width="8.88671875" style="1"/>
    <col min="7" max="7" width="9.21875" style="1" bestFit="1" customWidth="1"/>
    <col min="8" max="16384" width="8.88671875" style="1"/>
  </cols>
  <sheetData>
    <row r="1" spans="1:20" x14ac:dyDescent="0.3"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>
        <v>63</v>
      </c>
      <c r="J1" s="1" t="s">
        <v>7</v>
      </c>
      <c r="P1" s="1" t="s">
        <v>6</v>
      </c>
      <c r="Q1" s="1" t="s">
        <v>3</v>
      </c>
      <c r="R1" s="1" t="s">
        <v>4</v>
      </c>
      <c r="S1" s="1" t="s">
        <v>5</v>
      </c>
      <c r="T1" s="1">
        <v>60</v>
      </c>
    </row>
    <row r="2" spans="1:20" x14ac:dyDescent="0.3">
      <c r="B2" s="2">
        <v>1</v>
      </c>
      <c r="C2" s="1">
        <v>-1.8304056799999999E-2</v>
      </c>
      <c r="I2" s="2">
        <v>1</v>
      </c>
      <c r="J2" s="1">
        <v>-4.98019699E-2</v>
      </c>
      <c r="O2" s="2">
        <v>1</v>
      </c>
      <c r="P2" s="1">
        <v>-0.22316003800000001</v>
      </c>
    </row>
    <row r="3" spans="1:20" x14ac:dyDescent="0.3">
      <c r="B3" s="2">
        <v>2</v>
      </c>
      <c r="C3" s="1">
        <v>-0.23970180299999999</v>
      </c>
      <c r="I3" s="2">
        <v>2</v>
      </c>
      <c r="J3" s="1">
        <v>-0.24974944900000001</v>
      </c>
      <c r="O3" s="2">
        <v>2</v>
      </c>
      <c r="P3" s="1">
        <v>-0.25379380499999998</v>
      </c>
    </row>
    <row r="4" spans="1:20" x14ac:dyDescent="0.3">
      <c r="B4" s="2">
        <v>3</v>
      </c>
      <c r="C4" s="1">
        <v>-0.74487369599999997</v>
      </c>
      <c r="I4" s="2">
        <v>3</v>
      </c>
      <c r="J4" s="1">
        <v>-0.76839960799999996</v>
      </c>
      <c r="O4" s="2">
        <v>3</v>
      </c>
      <c r="P4" s="1">
        <v>-0.71972318000000002</v>
      </c>
    </row>
    <row r="5" spans="1:20" x14ac:dyDescent="0.3">
      <c r="B5" s="2">
        <v>4</v>
      </c>
      <c r="C5" s="1">
        <v>-0.58646830999999999</v>
      </c>
      <c r="I5" s="2">
        <v>4</v>
      </c>
      <c r="J5" s="1">
        <v>-0.61445993600000004</v>
      </c>
      <c r="O5" s="2">
        <v>4</v>
      </c>
      <c r="P5" s="1">
        <v>-0.63333961999999999</v>
      </c>
    </row>
    <row r="6" spans="1:20" x14ac:dyDescent="0.3">
      <c r="B6" s="2">
        <v>5</v>
      </c>
      <c r="C6" s="1">
        <v>0.51230079900000003</v>
      </c>
      <c r="I6" s="2">
        <v>5</v>
      </c>
      <c r="J6" s="1">
        <v>0.53753981399999995</v>
      </c>
      <c r="O6" s="2">
        <v>5</v>
      </c>
      <c r="P6" s="1">
        <v>0.89143910999999998</v>
      </c>
    </row>
    <row r="7" spans="1:20" x14ac:dyDescent="0.3">
      <c r="B7" s="2">
        <v>6</v>
      </c>
      <c r="C7" s="1">
        <v>0.112692141</v>
      </c>
      <c r="I7" s="2">
        <v>6</v>
      </c>
      <c r="J7" s="1">
        <v>0.110814357</v>
      </c>
      <c r="O7" s="2">
        <v>6</v>
      </c>
      <c r="P7" s="1">
        <v>9.70811335E-2</v>
      </c>
    </row>
    <row r="8" spans="1:20" x14ac:dyDescent="0.3">
      <c r="B8" s="2">
        <v>7</v>
      </c>
      <c r="C8" s="1">
        <v>6.3559196900000003E-2</v>
      </c>
      <c r="I8" s="2">
        <v>7</v>
      </c>
      <c r="J8" s="1">
        <v>6.1121323200000001E-2</v>
      </c>
      <c r="O8" s="2">
        <v>7</v>
      </c>
      <c r="P8" s="1">
        <v>6.3886828399999998E-2</v>
      </c>
    </row>
    <row r="9" spans="1:20" x14ac:dyDescent="0.3">
      <c r="A9" s="1" t="s">
        <v>10</v>
      </c>
      <c r="B9" s="2">
        <v>8</v>
      </c>
      <c r="C9" s="1">
        <v>-9.2954268800000007E-3</v>
      </c>
      <c r="H9" s="1" t="s">
        <v>10</v>
      </c>
      <c r="I9" s="2">
        <v>8</v>
      </c>
      <c r="J9" s="1">
        <v>-9.3570167799999996E-3</v>
      </c>
      <c r="N9" s="1" t="s">
        <v>10</v>
      </c>
      <c r="O9" s="2">
        <v>8</v>
      </c>
      <c r="P9" s="1">
        <v>-0.17010803599999999</v>
      </c>
    </row>
    <row r="10" spans="1:20" x14ac:dyDescent="0.3">
      <c r="B10" s="2">
        <v>9</v>
      </c>
      <c r="C10" s="1">
        <v>-0.86600035799999997</v>
      </c>
      <c r="I10" s="2">
        <v>9</v>
      </c>
      <c r="J10" s="1">
        <v>-0.86097950700000003</v>
      </c>
      <c r="O10" s="2">
        <v>9</v>
      </c>
      <c r="P10" s="1">
        <v>-0.81059002300000005</v>
      </c>
    </row>
    <row r="11" spans="1:20" x14ac:dyDescent="0.3">
      <c r="B11" s="2">
        <v>10</v>
      </c>
      <c r="C11" s="1">
        <v>6.00413344E-2</v>
      </c>
      <c r="I11" s="2">
        <v>10</v>
      </c>
      <c r="J11" s="1">
        <v>0.31633902000000003</v>
      </c>
      <c r="O11" s="2">
        <v>10</v>
      </c>
      <c r="P11" s="1">
        <v>0.19473161</v>
      </c>
    </row>
    <row r="12" spans="1:20" x14ac:dyDescent="0.3">
      <c r="B12" s="2">
        <v>11</v>
      </c>
      <c r="C12" s="1">
        <v>-0.43172197800000001</v>
      </c>
      <c r="I12" s="2">
        <v>11</v>
      </c>
      <c r="J12" s="1">
        <v>-0.86213614400000005</v>
      </c>
      <c r="O12" s="2">
        <v>11</v>
      </c>
      <c r="P12" s="1">
        <v>-0.66370295599999996</v>
      </c>
    </row>
    <row r="13" spans="1:20" x14ac:dyDescent="0.3">
      <c r="B13" s="2">
        <v>12</v>
      </c>
      <c r="C13" s="1">
        <v>2.65267678E-2</v>
      </c>
      <c r="I13" s="2">
        <v>12</v>
      </c>
      <c r="J13" s="1">
        <v>0.324474912</v>
      </c>
      <c r="O13" s="2">
        <v>12</v>
      </c>
      <c r="P13" s="1">
        <v>0.12379034</v>
      </c>
    </row>
    <row r="14" spans="1:20" x14ac:dyDescent="0.3">
      <c r="B14" s="2">
        <v>13</v>
      </c>
      <c r="C14" s="1">
        <v>-0.146684499</v>
      </c>
      <c r="I14" s="2">
        <v>13</v>
      </c>
      <c r="J14" s="1">
        <v>-0.10039326</v>
      </c>
      <c r="O14" s="2">
        <v>13</v>
      </c>
      <c r="P14" s="1">
        <v>-2.7622146699999999E-2</v>
      </c>
    </row>
    <row r="15" spans="1:20" x14ac:dyDescent="0.3">
      <c r="B15" s="2">
        <v>14</v>
      </c>
      <c r="C15" s="1">
        <v>-0.79247656600000005</v>
      </c>
      <c r="I15" s="2">
        <v>14</v>
      </c>
      <c r="J15" s="1">
        <v>-0.75882685500000002</v>
      </c>
      <c r="O15" s="2">
        <v>14</v>
      </c>
      <c r="P15" s="1">
        <v>-0.88636439199999995</v>
      </c>
    </row>
    <row r="16" spans="1:20" x14ac:dyDescent="0.3">
      <c r="B16" s="2">
        <v>15</v>
      </c>
      <c r="C16" s="1">
        <v>-1.7556464599999998E-2</v>
      </c>
      <c r="I16" s="2">
        <v>15</v>
      </c>
      <c r="J16" s="1">
        <v>-3.9691914199999997E-2</v>
      </c>
      <c r="O16" s="2">
        <v>15</v>
      </c>
      <c r="P16" s="1">
        <v>-1.71039885E-2</v>
      </c>
    </row>
    <row r="17" spans="1:16" x14ac:dyDescent="0.3">
      <c r="A17" s="1" t="s">
        <v>8</v>
      </c>
      <c r="B17" s="2">
        <v>16</v>
      </c>
      <c r="C17" s="1">
        <v>-0.13736595200000001</v>
      </c>
      <c r="H17" s="1" t="s">
        <v>8</v>
      </c>
      <c r="I17" s="2">
        <v>16</v>
      </c>
      <c r="J17" s="1">
        <v>-0.22539909</v>
      </c>
      <c r="N17" s="1" t="s">
        <v>8</v>
      </c>
      <c r="O17" s="2">
        <v>16</v>
      </c>
      <c r="P17" s="1">
        <v>-0.13802806500000001</v>
      </c>
    </row>
    <row r="18" spans="1:16" x14ac:dyDescent="0.3">
      <c r="B18" s="2">
        <v>17</v>
      </c>
      <c r="C18" s="1">
        <v>-3.0795474600000001E-2</v>
      </c>
      <c r="I18" s="2">
        <v>17</v>
      </c>
      <c r="J18" s="1">
        <v>-9.6850078399999998E-2</v>
      </c>
      <c r="O18" s="2">
        <v>17</v>
      </c>
      <c r="P18" s="1">
        <v>-6.0607833399999998E-2</v>
      </c>
    </row>
    <row r="19" spans="1:16" x14ac:dyDescent="0.3">
      <c r="B19" s="2">
        <v>18</v>
      </c>
      <c r="C19" s="1">
        <v>0.30495895499999998</v>
      </c>
      <c r="I19" s="2">
        <v>18</v>
      </c>
      <c r="J19" s="1">
        <v>0.30495530199999998</v>
      </c>
      <c r="O19" s="2">
        <v>18</v>
      </c>
      <c r="P19" s="1">
        <v>0.30570590600000003</v>
      </c>
    </row>
    <row r="20" spans="1:16" x14ac:dyDescent="0.3">
      <c r="B20" s="2">
        <v>19</v>
      </c>
      <c r="C20" s="1">
        <v>-0.54546622199999995</v>
      </c>
      <c r="I20" s="2">
        <v>19</v>
      </c>
      <c r="J20" s="1">
        <v>-0.54807812700000003</v>
      </c>
      <c r="O20" s="2">
        <v>19</v>
      </c>
      <c r="P20" s="1">
        <v>-0.54002777700000004</v>
      </c>
    </row>
    <row r="21" spans="1:16" x14ac:dyDescent="0.3">
      <c r="B21" s="2">
        <v>20</v>
      </c>
      <c r="C21" s="1">
        <v>0.159201177</v>
      </c>
      <c r="I21" s="2">
        <v>20</v>
      </c>
      <c r="J21" s="1">
        <v>0.15890406000000001</v>
      </c>
      <c r="O21" s="2">
        <v>20</v>
      </c>
      <c r="P21" s="1">
        <v>0.15806287599999999</v>
      </c>
    </row>
    <row r="22" spans="1:16" x14ac:dyDescent="0.3">
      <c r="B22" s="2">
        <v>21</v>
      </c>
      <c r="C22" s="1">
        <v>0.104389698</v>
      </c>
      <c r="I22" s="2">
        <v>21</v>
      </c>
      <c r="J22" s="1">
        <v>0.10532227800000001</v>
      </c>
      <c r="O22" s="2">
        <v>21</v>
      </c>
      <c r="P22" s="1">
        <v>0.110527361</v>
      </c>
    </row>
    <row r="23" spans="1:16" x14ac:dyDescent="0.3">
      <c r="B23" s="2">
        <v>22</v>
      </c>
      <c r="C23" s="1">
        <v>0.23982923</v>
      </c>
      <c r="I23" s="2">
        <v>22</v>
      </c>
      <c r="J23" s="1">
        <v>0.23846829899999999</v>
      </c>
      <c r="O23" s="2">
        <v>22</v>
      </c>
      <c r="P23" s="1">
        <v>0.21163806700000001</v>
      </c>
    </row>
    <row r="24" spans="1:16" x14ac:dyDescent="0.3">
      <c r="B24" s="2">
        <v>23</v>
      </c>
      <c r="C24" s="1">
        <v>-0.33728883799999998</v>
      </c>
      <c r="I24" s="2">
        <v>23</v>
      </c>
      <c r="J24" s="1">
        <v>-0.33495092300000001</v>
      </c>
      <c r="O24" s="2">
        <v>23</v>
      </c>
      <c r="P24" s="1">
        <v>-0.31419944</v>
      </c>
    </row>
    <row r="25" spans="1:16" x14ac:dyDescent="0.3">
      <c r="B25" s="2">
        <v>24</v>
      </c>
      <c r="C25" s="1">
        <v>5.7678908600000002E-2</v>
      </c>
      <c r="I25" s="2">
        <v>24</v>
      </c>
      <c r="J25" s="1">
        <v>5.7295113100000003E-2</v>
      </c>
      <c r="O25" s="2">
        <v>24</v>
      </c>
      <c r="P25" s="1">
        <v>6.4406706999999994E-2</v>
      </c>
    </row>
    <row r="26" spans="1:16" x14ac:dyDescent="0.3">
      <c r="B26" s="2">
        <v>25</v>
      </c>
      <c r="C26" s="1">
        <v>7.4005404900000002E-2</v>
      </c>
      <c r="I26" s="2">
        <v>25</v>
      </c>
      <c r="J26" s="1">
        <v>7.3820184799999994E-2</v>
      </c>
      <c r="O26" s="2">
        <v>25</v>
      </c>
      <c r="P26" s="1">
        <v>7.7986498799999998E-2</v>
      </c>
    </row>
    <row r="27" spans="1:16" x14ac:dyDescent="0.3">
      <c r="B27" s="2">
        <v>26</v>
      </c>
      <c r="C27" s="1">
        <v>0.18503025000000001</v>
      </c>
      <c r="I27" s="2">
        <v>26</v>
      </c>
      <c r="J27" s="1">
        <v>0.18528301</v>
      </c>
      <c r="O27" s="2">
        <v>26</v>
      </c>
      <c r="P27" s="1">
        <v>0.15209510300000001</v>
      </c>
    </row>
    <row r="28" spans="1:16" x14ac:dyDescent="0.3">
      <c r="B28" s="2">
        <v>27</v>
      </c>
      <c r="C28" s="1">
        <v>-0.23874698999999999</v>
      </c>
      <c r="I28" s="2">
        <v>27</v>
      </c>
      <c r="J28" s="1">
        <v>-0.23799018599999999</v>
      </c>
      <c r="O28" s="2">
        <v>27</v>
      </c>
      <c r="P28" s="1">
        <v>-0.231761625</v>
      </c>
    </row>
    <row r="29" spans="1:16" x14ac:dyDescent="0.3">
      <c r="B29" s="2">
        <v>28</v>
      </c>
      <c r="C29" s="1">
        <v>6.3855009600000002E-3</v>
      </c>
      <c r="I29" s="2">
        <v>28</v>
      </c>
      <c r="J29" s="1">
        <v>6.5565576000000004E-3</v>
      </c>
      <c r="O29" s="2">
        <v>28</v>
      </c>
      <c r="P29" s="1">
        <v>6.4950006899999998E-3</v>
      </c>
    </row>
    <row r="30" spans="1:16" x14ac:dyDescent="0.3">
      <c r="B30" s="2">
        <v>29</v>
      </c>
      <c r="C30" s="1">
        <v>2.4029977300000002E-2</v>
      </c>
      <c r="I30" s="2">
        <v>29</v>
      </c>
      <c r="J30" s="1">
        <v>2.4292624299999999E-2</v>
      </c>
      <c r="O30" s="2">
        <v>29</v>
      </c>
      <c r="P30" s="1">
        <v>2.4536633700000001E-2</v>
      </c>
    </row>
    <row r="31" spans="1:16" x14ac:dyDescent="0.3">
      <c r="B31" s="2">
        <v>30</v>
      </c>
      <c r="C31" s="1">
        <v>0.209183691</v>
      </c>
      <c r="I31" s="2">
        <v>30</v>
      </c>
      <c r="J31" s="1">
        <v>0.21441612600000001</v>
      </c>
      <c r="O31" s="2">
        <v>30</v>
      </c>
      <c r="P31" s="1">
        <v>0.21437197299999999</v>
      </c>
    </row>
    <row r="32" spans="1:16" x14ac:dyDescent="0.3">
      <c r="B32" s="2">
        <v>31</v>
      </c>
      <c r="C32" s="1">
        <v>-0.302489701</v>
      </c>
      <c r="I32" s="2">
        <v>31</v>
      </c>
      <c r="J32" s="1">
        <v>-0.328933847</v>
      </c>
      <c r="O32" s="2">
        <v>31</v>
      </c>
      <c r="P32" s="1">
        <v>-0.30608787900000001</v>
      </c>
    </row>
    <row r="33" spans="2:16" x14ac:dyDescent="0.3">
      <c r="B33" s="2">
        <v>32</v>
      </c>
      <c r="C33" s="1">
        <v>6.2007023000000001E-2</v>
      </c>
      <c r="I33" s="2">
        <v>32</v>
      </c>
      <c r="J33" s="1">
        <v>6.3457219800000006E-2</v>
      </c>
      <c r="O33" s="2">
        <v>32</v>
      </c>
      <c r="P33" s="1">
        <v>6.1901876600000003E-2</v>
      </c>
    </row>
    <row r="34" spans="2:16" x14ac:dyDescent="0.3">
      <c r="B34" s="2">
        <v>33</v>
      </c>
      <c r="C34" s="1">
        <v>4.5748303099999998E-2</v>
      </c>
      <c r="I34" s="2">
        <v>33</v>
      </c>
      <c r="J34" s="1">
        <v>6.2374219799999998E-2</v>
      </c>
      <c r="O34" s="2">
        <v>33</v>
      </c>
      <c r="P34" s="1">
        <v>4.9324353500000001E-2</v>
      </c>
    </row>
    <row r="35" spans="2:16" x14ac:dyDescent="0.3">
      <c r="B35" s="2">
        <v>34</v>
      </c>
      <c r="C35" s="1">
        <v>0.40448696699999998</v>
      </c>
      <c r="I35" s="2">
        <v>34</v>
      </c>
      <c r="J35" s="1">
        <v>0.39643564799999997</v>
      </c>
      <c r="O35" s="2">
        <v>34</v>
      </c>
      <c r="P35" s="1">
        <v>0.40343231299999999</v>
      </c>
    </row>
    <row r="36" spans="2:16" x14ac:dyDescent="0.3">
      <c r="B36" s="2">
        <v>35</v>
      </c>
      <c r="C36" s="1">
        <v>-1.04307565</v>
      </c>
      <c r="I36" s="2">
        <v>35</v>
      </c>
      <c r="J36" s="1">
        <v>-1.0295769699999999</v>
      </c>
      <c r="O36" s="2">
        <v>35</v>
      </c>
      <c r="P36" s="1">
        <v>-1.04377499</v>
      </c>
    </row>
    <row r="37" spans="2:16" x14ac:dyDescent="0.3">
      <c r="B37" s="2">
        <v>36</v>
      </c>
      <c r="C37" s="1">
        <v>0.24863025599999999</v>
      </c>
      <c r="I37" s="2">
        <v>36</v>
      </c>
      <c r="J37" s="1">
        <v>0.25152211000000002</v>
      </c>
      <c r="O37" s="2">
        <v>36</v>
      </c>
      <c r="P37" s="1">
        <v>0.25047337400000003</v>
      </c>
    </row>
    <row r="38" spans="2:16" x14ac:dyDescent="0.3">
      <c r="B38" s="2">
        <v>37</v>
      </c>
      <c r="C38" s="1">
        <v>0.24734967899999999</v>
      </c>
      <c r="I38" s="2">
        <v>37</v>
      </c>
      <c r="J38" s="1">
        <v>0.24213332700000001</v>
      </c>
      <c r="O38" s="2">
        <v>37</v>
      </c>
      <c r="P38" s="1">
        <v>0.24933439399999999</v>
      </c>
    </row>
    <row r="39" spans="2:16" x14ac:dyDescent="0.3">
      <c r="B39" s="2">
        <v>38</v>
      </c>
      <c r="C39" s="1">
        <v>0.140835764</v>
      </c>
      <c r="I39" s="2">
        <v>38</v>
      </c>
      <c r="J39" s="1">
        <v>0.14025727199999999</v>
      </c>
      <c r="O39" s="2">
        <v>38</v>
      </c>
      <c r="P39" s="1">
        <v>0.140533456</v>
      </c>
    </row>
    <row r="40" spans="2:16" x14ac:dyDescent="0.3">
      <c r="B40" s="2">
        <v>39</v>
      </c>
      <c r="C40" s="1">
        <v>-0.32567072000000002</v>
      </c>
      <c r="I40" s="2">
        <v>39</v>
      </c>
      <c r="J40" s="1">
        <v>-0.32140314399999997</v>
      </c>
      <c r="O40" s="2">
        <v>39</v>
      </c>
      <c r="P40" s="1">
        <v>-0.324642714</v>
      </c>
    </row>
    <row r="41" spans="2:16" x14ac:dyDescent="0.3">
      <c r="B41" s="2">
        <v>40</v>
      </c>
      <c r="C41" s="1">
        <v>2.8153656499999999E-2</v>
      </c>
      <c r="I41" s="2">
        <v>40</v>
      </c>
      <c r="J41" s="1">
        <v>3.0018088299999999E-2</v>
      </c>
      <c r="O41" s="2">
        <v>40</v>
      </c>
      <c r="P41" s="1">
        <v>2.8993916099999999E-2</v>
      </c>
    </row>
    <row r="42" spans="2:16" x14ac:dyDescent="0.3">
      <c r="B42" s="2">
        <v>41</v>
      </c>
      <c r="C42" s="1">
        <v>3.9060612500000001E-2</v>
      </c>
      <c r="I42" s="2">
        <v>41</v>
      </c>
      <c r="J42" s="1">
        <v>3.5741661700000003E-2</v>
      </c>
      <c r="O42" s="2">
        <v>41</v>
      </c>
      <c r="P42" s="1">
        <v>3.7731226800000003E-2</v>
      </c>
    </row>
    <row r="43" spans="2:16" x14ac:dyDescent="0.3">
      <c r="B43" s="2">
        <v>42</v>
      </c>
      <c r="C43" s="1">
        <v>0.171686535</v>
      </c>
      <c r="I43" s="2">
        <v>42</v>
      </c>
      <c r="J43" s="1">
        <v>0.17217268099999999</v>
      </c>
      <c r="O43" s="2">
        <v>42</v>
      </c>
      <c r="P43" s="1">
        <v>0.17282655399999999</v>
      </c>
    </row>
    <row r="44" spans="2:16" x14ac:dyDescent="0.3">
      <c r="B44" s="2">
        <v>43</v>
      </c>
      <c r="C44" s="1">
        <v>0.239728205</v>
      </c>
      <c r="I44" s="2">
        <v>43</v>
      </c>
      <c r="J44" s="1">
        <v>0.23958381400000001</v>
      </c>
      <c r="O44" s="2">
        <v>43</v>
      </c>
      <c r="P44" s="1">
        <v>0.23533080000000001</v>
      </c>
    </row>
    <row r="45" spans="2:16" x14ac:dyDescent="0.3">
      <c r="B45" s="2">
        <v>44</v>
      </c>
      <c r="C45" s="1">
        <v>0.23541087299999999</v>
      </c>
      <c r="I45" s="2">
        <v>44</v>
      </c>
      <c r="J45" s="1">
        <v>0.23563903</v>
      </c>
      <c r="O45" s="2">
        <v>44</v>
      </c>
      <c r="P45" s="1">
        <v>0.23881612799999999</v>
      </c>
    </row>
    <row r="46" spans="2:16" x14ac:dyDescent="0.3">
      <c r="B46" s="2">
        <v>45</v>
      </c>
      <c r="C46" s="1">
        <v>0.211759167</v>
      </c>
      <c r="I46" s="2">
        <v>45</v>
      </c>
      <c r="J46" s="1">
        <v>0.21164387300000001</v>
      </c>
      <c r="O46" s="2">
        <v>45</v>
      </c>
      <c r="P46" s="1">
        <v>0.23878809600000001</v>
      </c>
    </row>
    <row r="47" spans="2:16" x14ac:dyDescent="0.3">
      <c r="B47" s="2">
        <v>46</v>
      </c>
      <c r="C47" s="1">
        <v>0.19862305799999999</v>
      </c>
      <c r="I47" s="2">
        <v>46</v>
      </c>
      <c r="J47" s="1">
        <v>0.199075962</v>
      </c>
      <c r="O47" s="2">
        <v>46</v>
      </c>
      <c r="P47" s="1">
        <v>0.18645900300000001</v>
      </c>
    </row>
    <row r="48" spans="2:16" x14ac:dyDescent="0.3">
      <c r="B48" s="2">
        <v>47</v>
      </c>
      <c r="C48" s="1">
        <v>0.218165102</v>
      </c>
      <c r="I48" s="2">
        <v>47</v>
      </c>
      <c r="J48" s="1">
        <v>0.218387689</v>
      </c>
      <c r="O48" s="2">
        <v>47</v>
      </c>
      <c r="P48" s="1">
        <v>0.21689034300000001</v>
      </c>
    </row>
    <row r="49" spans="1:16" x14ac:dyDescent="0.3">
      <c r="B49" s="2">
        <v>48</v>
      </c>
      <c r="C49" s="1">
        <v>0.23954267800000001</v>
      </c>
      <c r="I49" s="2">
        <v>48</v>
      </c>
      <c r="J49" s="1">
        <v>0.240149524</v>
      </c>
      <c r="O49" s="2">
        <v>48</v>
      </c>
      <c r="P49" s="1">
        <v>0.233313244</v>
      </c>
    </row>
    <row r="50" spans="1:16" x14ac:dyDescent="0.3">
      <c r="B50" s="2">
        <v>49</v>
      </c>
      <c r="C50" s="1">
        <v>0.14755038000000001</v>
      </c>
      <c r="I50" s="2">
        <v>49</v>
      </c>
      <c r="J50" s="1">
        <v>0.168189847</v>
      </c>
      <c r="O50" s="2">
        <v>49</v>
      </c>
      <c r="P50" s="1">
        <v>0.14636360100000001</v>
      </c>
    </row>
    <row r="51" spans="1:16" x14ac:dyDescent="0.3">
      <c r="B51" s="2">
        <v>50</v>
      </c>
      <c r="C51" s="1">
        <v>0.236428309</v>
      </c>
      <c r="I51" s="2">
        <v>50</v>
      </c>
      <c r="J51" s="1">
        <v>0.24606193900000001</v>
      </c>
      <c r="O51" s="2">
        <v>50</v>
      </c>
      <c r="P51" s="1">
        <v>0.23750590499999999</v>
      </c>
    </row>
    <row r="52" spans="1:16" x14ac:dyDescent="0.3">
      <c r="B52" s="2">
        <v>51</v>
      </c>
      <c r="C52" s="1">
        <v>0.231175299</v>
      </c>
      <c r="I52" s="2">
        <v>51</v>
      </c>
      <c r="J52" s="1">
        <v>0.229280864</v>
      </c>
      <c r="O52" s="2">
        <v>51</v>
      </c>
      <c r="P52" s="1">
        <v>0.230633651</v>
      </c>
    </row>
    <row r="53" spans="1:16" x14ac:dyDescent="0.3">
      <c r="B53" s="2">
        <v>52</v>
      </c>
      <c r="C53" s="1">
        <v>0.190224903</v>
      </c>
      <c r="I53" s="2">
        <v>52</v>
      </c>
      <c r="J53" s="1">
        <v>0.187065117</v>
      </c>
      <c r="O53" s="2">
        <v>52</v>
      </c>
      <c r="P53" s="1">
        <v>0.19176907600000001</v>
      </c>
    </row>
    <row r="54" spans="1:16" x14ac:dyDescent="0.3">
      <c r="B54" s="2">
        <v>53</v>
      </c>
      <c r="C54" s="1">
        <v>0.204362506</v>
      </c>
      <c r="I54" s="2">
        <v>53</v>
      </c>
      <c r="J54" s="1">
        <v>0.20331302700000001</v>
      </c>
      <c r="O54" s="2">
        <v>53</v>
      </c>
      <c r="P54" s="1">
        <v>0.205982685</v>
      </c>
    </row>
    <row r="55" spans="1:16" x14ac:dyDescent="0.3">
      <c r="B55" s="2">
        <v>54</v>
      </c>
      <c r="C55" s="1">
        <v>0.206594582</v>
      </c>
      <c r="I55" s="2">
        <v>54</v>
      </c>
      <c r="J55" s="1">
        <v>0.20740204600000001</v>
      </c>
      <c r="O55" s="2">
        <v>54</v>
      </c>
      <c r="P55" s="1">
        <v>0.20729725500000001</v>
      </c>
    </row>
    <row r="56" spans="1:16" x14ac:dyDescent="0.3">
      <c r="B56" s="2">
        <v>55</v>
      </c>
      <c r="C56" s="1">
        <v>0.20044457500000001</v>
      </c>
      <c r="I56" s="2">
        <v>55</v>
      </c>
      <c r="J56" s="1">
        <v>0.20043297600000001</v>
      </c>
      <c r="O56" s="2">
        <v>55</v>
      </c>
      <c r="P56" s="1">
        <v>0.20003853899999999</v>
      </c>
    </row>
    <row r="57" spans="1:16" x14ac:dyDescent="0.3">
      <c r="A57" s="1" t="s">
        <v>13</v>
      </c>
      <c r="B57" s="2">
        <v>56</v>
      </c>
      <c r="C57" s="1">
        <v>-0.187185501</v>
      </c>
      <c r="H57" s="1" t="s">
        <v>13</v>
      </c>
      <c r="I57" s="2">
        <v>56</v>
      </c>
      <c r="J57" s="1">
        <v>-0.186951705</v>
      </c>
      <c r="N57" s="1" t="s">
        <v>12</v>
      </c>
      <c r="O57" s="2">
        <v>56</v>
      </c>
      <c r="P57" s="1">
        <v>-0.21563474599999999</v>
      </c>
    </row>
    <row r="58" spans="1:16" x14ac:dyDescent="0.3">
      <c r="A58" s="1" t="s">
        <v>11</v>
      </c>
      <c r="B58" s="2">
        <v>57</v>
      </c>
      <c r="C58" s="1">
        <v>0.15841680899999999</v>
      </c>
      <c r="H58" s="1" t="s">
        <v>11</v>
      </c>
      <c r="I58" s="2">
        <v>57</v>
      </c>
      <c r="J58" s="1">
        <v>0.15841525000000001</v>
      </c>
      <c r="N58" s="1" t="s">
        <v>9</v>
      </c>
      <c r="O58" s="2">
        <v>57</v>
      </c>
      <c r="P58" s="1">
        <v>0.16676001900000001</v>
      </c>
    </row>
    <row r="59" spans="1:16" x14ac:dyDescent="0.3">
      <c r="A59" s="1" t="s">
        <v>11</v>
      </c>
      <c r="B59" s="2">
        <v>58</v>
      </c>
      <c r="C59" s="1">
        <v>0.14639967000000001</v>
      </c>
      <c r="H59" s="1" t="s">
        <v>11</v>
      </c>
      <c r="I59" s="2">
        <v>58</v>
      </c>
      <c r="J59" s="1">
        <v>0.14657772799999999</v>
      </c>
      <c r="N59" s="1" t="s">
        <v>9</v>
      </c>
      <c r="O59" s="2">
        <v>58</v>
      </c>
      <c r="P59" s="1">
        <v>0.160587323</v>
      </c>
    </row>
    <row r="60" spans="1:16" x14ac:dyDescent="0.3">
      <c r="A60" s="1" t="s">
        <v>11</v>
      </c>
      <c r="B60" s="2">
        <v>59</v>
      </c>
      <c r="C60" s="1">
        <v>0.16140642299999999</v>
      </c>
      <c r="H60" s="1" t="s">
        <v>11</v>
      </c>
      <c r="I60" s="2">
        <v>59</v>
      </c>
      <c r="J60" s="1">
        <v>0.16154279099999999</v>
      </c>
      <c r="N60" s="1" t="s">
        <v>9</v>
      </c>
      <c r="O60" s="2">
        <v>59</v>
      </c>
      <c r="P60" s="1">
        <v>0.141111283</v>
      </c>
    </row>
    <row r="61" spans="1:16" x14ac:dyDescent="0.3">
      <c r="A61" s="1" t="s">
        <v>12</v>
      </c>
      <c r="B61" s="2">
        <v>60</v>
      </c>
      <c r="C61" s="1">
        <v>-0.220696277</v>
      </c>
      <c r="H61" s="1" t="s">
        <v>9</v>
      </c>
      <c r="I61" s="2">
        <v>60</v>
      </c>
      <c r="J61" s="1">
        <v>0.25745304200000002</v>
      </c>
      <c r="N61" s="1" t="s">
        <v>11</v>
      </c>
      <c r="O61" s="2">
        <v>60</v>
      </c>
      <c r="P61" s="1">
        <v>0.25131968700000001</v>
      </c>
    </row>
    <row r="62" spans="1:16" x14ac:dyDescent="0.3">
      <c r="A62" s="1" t="s">
        <v>9</v>
      </c>
      <c r="B62" s="2">
        <v>61</v>
      </c>
      <c r="C62" s="1">
        <v>0.166742902</v>
      </c>
      <c r="I62" s="2"/>
      <c r="O62" s="2"/>
    </row>
    <row r="63" spans="1:16" x14ac:dyDescent="0.3">
      <c r="A63" s="1" t="s">
        <v>9</v>
      </c>
      <c r="B63" s="2">
        <v>62</v>
      </c>
      <c r="C63" s="1">
        <v>0.160518882</v>
      </c>
      <c r="I63" s="2"/>
      <c r="O63" s="2"/>
    </row>
    <row r="64" spans="1:16" x14ac:dyDescent="0.3">
      <c r="A64" s="1" t="s">
        <v>9</v>
      </c>
      <c r="B64" s="2">
        <v>63</v>
      </c>
      <c r="C64" s="1">
        <v>0.14059833199999999</v>
      </c>
      <c r="I64" s="2"/>
      <c r="O64" s="2"/>
    </row>
    <row r="65" spans="2:15" x14ac:dyDescent="0.3">
      <c r="B65" s="2"/>
      <c r="I65" s="2"/>
      <c r="O65" s="2"/>
    </row>
    <row r="66" spans="2:15" x14ac:dyDescent="0.3">
      <c r="B66" s="2"/>
      <c r="I66" s="2"/>
      <c r="O66" s="2"/>
    </row>
    <row r="67" spans="2:15" x14ac:dyDescent="0.3">
      <c r="B67" s="2"/>
      <c r="I67" s="2"/>
      <c r="O67" s="2"/>
    </row>
    <row r="68" spans="2:15" x14ac:dyDescent="0.3">
      <c r="B68" s="2"/>
      <c r="I68" s="2"/>
      <c r="O6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4"/>
  <sheetViews>
    <sheetView workbookViewId="0"/>
  </sheetViews>
  <sheetFormatPr defaultRowHeight="14.4" x14ac:dyDescent="0.3"/>
  <sheetData>
    <row r="1" spans="1:12" x14ac:dyDescent="0.3">
      <c r="A1" s="1" t="s">
        <v>53</v>
      </c>
      <c r="B1" s="1" t="s">
        <v>14</v>
      </c>
      <c r="C1" s="1" t="s">
        <v>0</v>
      </c>
      <c r="D1" s="1" t="s">
        <v>7</v>
      </c>
      <c r="E1" s="1" t="s">
        <v>6</v>
      </c>
      <c r="G1" s="1" t="s">
        <v>16</v>
      </c>
      <c r="I1" t="s">
        <v>18</v>
      </c>
      <c r="K1" t="s">
        <v>17</v>
      </c>
    </row>
    <row r="2" spans="1:12" x14ac:dyDescent="0.3">
      <c r="A2" s="1"/>
      <c r="B2" s="2">
        <v>1</v>
      </c>
      <c r="C2" s="1">
        <v>-1.8304056799999999E-2</v>
      </c>
      <c r="D2" s="1">
        <v>-4.98019699E-2</v>
      </c>
      <c r="E2" s="1">
        <v>-0.22316003800000001</v>
      </c>
      <c r="G2" s="1">
        <f>C2-D2</f>
        <v>3.1497913099999997E-2</v>
      </c>
      <c r="I2" s="6">
        <f t="shared" ref="I2:I33" si="0">C2-E2</f>
        <v>0.20485598120000001</v>
      </c>
      <c r="K2" s="6">
        <f>D2-E2</f>
        <v>0.17335806810000001</v>
      </c>
    </row>
    <row r="3" spans="1:12" x14ac:dyDescent="0.3">
      <c r="A3" s="1"/>
      <c r="B3" s="2">
        <v>2</v>
      </c>
      <c r="C3" s="1">
        <v>-0.23970180299999999</v>
      </c>
      <c r="D3" s="1">
        <v>-0.24974944900000001</v>
      </c>
      <c r="E3" s="1">
        <v>-0.25379380499999998</v>
      </c>
      <c r="G3" s="1">
        <f t="shared" ref="G3:G61" si="1">C3-D3</f>
        <v>1.0047646000000021E-2</v>
      </c>
      <c r="I3" s="1">
        <f t="shared" si="0"/>
        <v>1.4092001999999992E-2</v>
      </c>
      <c r="K3" s="1">
        <f t="shared" ref="K3:K61" si="2">D3-E3</f>
        <v>4.0443559999999712E-3</v>
      </c>
    </row>
    <row r="4" spans="1:12" x14ac:dyDescent="0.3">
      <c r="A4" s="1"/>
      <c r="B4" s="2">
        <v>3</v>
      </c>
      <c r="C4" s="1">
        <v>-0.74487369599999997</v>
      </c>
      <c r="D4" s="1">
        <v>-0.76839960799999996</v>
      </c>
      <c r="E4" s="1">
        <v>-0.71972318000000002</v>
      </c>
      <c r="G4" s="1">
        <f t="shared" si="1"/>
        <v>2.3525911999999982E-2</v>
      </c>
      <c r="I4" s="1">
        <f t="shared" si="0"/>
        <v>-2.5150515999999956E-2</v>
      </c>
      <c r="K4" s="1">
        <f t="shared" si="2"/>
        <v>-4.8676427999999938E-2</v>
      </c>
    </row>
    <row r="5" spans="1:12" x14ac:dyDescent="0.3">
      <c r="A5" s="1"/>
      <c r="B5" s="2">
        <v>4</v>
      </c>
      <c r="C5" s="1">
        <v>-0.58646830999999999</v>
      </c>
      <c r="D5" s="1">
        <v>-0.61445993600000004</v>
      </c>
      <c r="E5" s="1">
        <v>-0.63333961999999999</v>
      </c>
      <c r="G5" s="1">
        <f t="shared" si="1"/>
        <v>2.7991626000000047E-2</v>
      </c>
      <c r="I5" s="1">
        <f t="shared" si="0"/>
        <v>4.6871309999999999E-2</v>
      </c>
      <c r="K5" s="1">
        <f t="shared" si="2"/>
        <v>1.8879683999999952E-2</v>
      </c>
    </row>
    <row r="6" spans="1:12" x14ac:dyDescent="0.3">
      <c r="A6" s="1"/>
      <c r="B6" s="2">
        <v>5</v>
      </c>
      <c r="C6" s="1">
        <v>0.51230079900000003</v>
      </c>
      <c r="D6" s="1">
        <v>0.53753981399999995</v>
      </c>
      <c r="E6" s="1">
        <v>0.89143910999999998</v>
      </c>
      <c r="G6" s="1">
        <f t="shared" si="1"/>
        <v>-2.523901499999992E-2</v>
      </c>
      <c r="I6" s="6">
        <f t="shared" si="0"/>
        <v>-0.37913831099999995</v>
      </c>
      <c r="K6" s="6">
        <f t="shared" si="2"/>
        <v>-0.35389929600000003</v>
      </c>
    </row>
    <row r="7" spans="1:12" x14ac:dyDescent="0.3">
      <c r="A7" s="1"/>
      <c r="B7" s="2">
        <v>6</v>
      </c>
      <c r="C7" s="1">
        <v>0.112692141</v>
      </c>
      <c r="D7" s="1">
        <v>0.110814357</v>
      </c>
      <c r="E7" s="1">
        <v>9.70811335E-2</v>
      </c>
      <c r="G7" s="1">
        <f t="shared" si="1"/>
        <v>1.8777839999999935E-3</v>
      </c>
      <c r="I7" s="1">
        <f t="shared" si="0"/>
        <v>1.5611007499999996E-2</v>
      </c>
      <c r="K7" s="1">
        <f t="shared" si="2"/>
        <v>1.3733223500000002E-2</v>
      </c>
    </row>
    <row r="8" spans="1:12" x14ac:dyDescent="0.3">
      <c r="A8" s="1"/>
      <c r="B8" s="2">
        <v>7</v>
      </c>
      <c r="C8" s="1">
        <v>6.3559196900000003E-2</v>
      </c>
      <c r="D8" s="1">
        <v>6.1121323200000001E-2</v>
      </c>
      <c r="E8" s="1">
        <v>6.3886828399999998E-2</v>
      </c>
      <c r="G8" s="1">
        <f t="shared" si="1"/>
        <v>2.4378737000000025E-3</v>
      </c>
      <c r="I8" s="1">
        <f t="shared" si="0"/>
        <v>-3.2763149999999464E-4</v>
      </c>
      <c r="K8" s="1">
        <f t="shared" si="2"/>
        <v>-2.7655051999999972E-3</v>
      </c>
    </row>
    <row r="9" spans="1:12" s="5" customFormat="1" x14ac:dyDescent="0.3">
      <c r="A9" s="3" t="s">
        <v>15</v>
      </c>
      <c r="B9" s="4">
        <v>8</v>
      </c>
      <c r="C9" s="3">
        <v>-9.2954268800000007E-3</v>
      </c>
      <c r="D9" s="3">
        <v>-9.3570167799999996E-3</v>
      </c>
      <c r="E9" s="3">
        <v>-0.17010803599999999</v>
      </c>
      <c r="G9" s="3">
        <f t="shared" si="1"/>
        <v>6.1589899999998921E-5</v>
      </c>
      <c r="I9" s="3">
        <f t="shared" si="0"/>
        <v>0.16081260911999998</v>
      </c>
      <c r="K9" s="3">
        <f t="shared" si="2"/>
        <v>0.16075101921999999</v>
      </c>
    </row>
    <row r="10" spans="1:12" x14ac:dyDescent="0.3">
      <c r="A10" s="1"/>
      <c r="B10" s="2">
        <v>9</v>
      </c>
      <c r="C10" s="1">
        <v>-0.86600035799999997</v>
      </c>
      <c r="D10" s="1">
        <v>-0.86097950700000003</v>
      </c>
      <c r="E10" s="1">
        <v>-0.81059002300000005</v>
      </c>
      <c r="G10" s="1">
        <f t="shared" si="1"/>
        <v>-5.0208509999999373E-3</v>
      </c>
      <c r="I10" s="1">
        <f t="shared" si="0"/>
        <v>-5.5410334999999922E-2</v>
      </c>
      <c r="K10" s="1">
        <f t="shared" si="2"/>
        <v>-5.0389483999999984E-2</v>
      </c>
    </row>
    <row r="11" spans="1:12" x14ac:dyDescent="0.3">
      <c r="A11" s="1"/>
      <c r="B11" s="2">
        <v>10</v>
      </c>
      <c r="C11" s="1">
        <v>6.00413344E-2</v>
      </c>
      <c r="D11" s="1">
        <v>0.31633902000000003</v>
      </c>
      <c r="E11" s="1">
        <v>0.19473161</v>
      </c>
      <c r="G11" s="6">
        <f t="shared" si="1"/>
        <v>-0.25629768560000005</v>
      </c>
      <c r="H11" s="7"/>
      <c r="I11" s="6">
        <f t="shared" si="0"/>
        <v>-0.13469027559999999</v>
      </c>
      <c r="J11" s="7"/>
      <c r="K11" s="6">
        <f t="shared" si="2"/>
        <v>0.12160741000000003</v>
      </c>
      <c r="L11" t="s">
        <v>19</v>
      </c>
    </row>
    <row r="12" spans="1:12" x14ac:dyDescent="0.3">
      <c r="A12" s="1"/>
      <c r="B12" s="2">
        <v>11</v>
      </c>
      <c r="C12" s="1">
        <v>-0.43172197800000001</v>
      </c>
      <c r="D12" s="1">
        <v>-0.86213614400000005</v>
      </c>
      <c r="E12" s="1">
        <v>-0.66370295599999996</v>
      </c>
      <c r="G12" s="6">
        <f t="shared" si="1"/>
        <v>0.43041416600000004</v>
      </c>
      <c r="H12" s="7"/>
      <c r="I12" s="6">
        <f t="shared" si="0"/>
        <v>0.23198097799999995</v>
      </c>
      <c r="J12" s="7"/>
      <c r="K12" s="6">
        <f t="shared" si="2"/>
        <v>-0.19843318800000009</v>
      </c>
      <c r="L12" t="s">
        <v>22</v>
      </c>
    </row>
    <row r="13" spans="1:12" x14ac:dyDescent="0.3">
      <c r="A13" s="1"/>
      <c r="B13" s="2">
        <v>12</v>
      </c>
      <c r="C13" s="1">
        <v>2.65267678E-2</v>
      </c>
      <c r="D13" s="1">
        <v>0.324474912</v>
      </c>
      <c r="E13" s="1">
        <v>0.12379034</v>
      </c>
      <c r="G13" s="6">
        <f t="shared" si="1"/>
        <v>-0.29794814419999999</v>
      </c>
      <c r="H13" s="7"/>
      <c r="I13" s="6">
        <f t="shared" si="0"/>
        <v>-9.7263572199999995E-2</v>
      </c>
      <c r="J13" s="7"/>
      <c r="K13" s="6">
        <f t="shared" si="2"/>
        <v>0.20068457200000001</v>
      </c>
      <c r="L13" t="s">
        <v>21</v>
      </c>
    </row>
    <row r="14" spans="1:12" x14ac:dyDescent="0.3">
      <c r="A14" s="1"/>
      <c r="B14" s="2">
        <v>13</v>
      </c>
      <c r="C14" s="1">
        <v>-0.146684499</v>
      </c>
      <c r="D14" s="1">
        <v>-0.10039326</v>
      </c>
      <c r="E14" s="1">
        <v>-2.7622146699999999E-2</v>
      </c>
      <c r="G14" s="1">
        <f t="shared" si="1"/>
        <v>-4.6291238999999998E-2</v>
      </c>
      <c r="I14" s="6">
        <f t="shared" si="0"/>
        <v>-0.11906235229999999</v>
      </c>
      <c r="K14" s="1">
        <f t="shared" si="2"/>
        <v>-7.2771113299999995E-2</v>
      </c>
    </row>
    <row r="15" spans="1:12" x14ac:dyDescent="0.3">
      <c r="A15" s="1"/>
      <c r="B15" s="2">
        <v>14</v>
      </c>
      <c r="C15" s="1">
        <v>-0.79247656600000005</v>
      </c>
      <c r="D15" s="1">
        <v>-0.75882685500000002</v>
      </c>
      <c r="E15" s="1">
        <v>-0.88636439199999995</v>
      </c>
      <c r="G15" s="1">
        <f t="shared" si="1"/>
        <v>-3.3649711000000027E-2</v>
      </c>
      <c r="I15" s="6">
        <f t="shared" si="0"/>
        <v>9.3887825999999897E-2</v>
      </c>
      <c r="K15" s="6">
        <f t="shared" si="2"/>
        <v>0.12753753699999992</v>
      </c>
    </row>
    <row r="16" spans="1:12" x14ac:dyDescent="0.3">
      <c r="A16" s="1"/>
      <c r="B16" s="2">
        <v>15</v>
      </c>
      <c r="C16" s="1">
        <v>-1.7556464599999998E-2</v>
      </c>
      <c r="D16" s="1">
        <v>-3.9691914199999997E-2</v>
      </c>
      <c r="E16" s="1">
        <v>-1.71039885E-2</v>
      </c>
      <c r="G16" s="1">
        <f t="shared" si="1"/>
        <v>2.2135449599999999E-2</v>
      </c>
      <c r="I16" s="1">
        <f t="shared" si="0"/>
        <v>-4.5247609999999813E-4</v>
      </c>
      <c r="K16" s="1">
        <f t="shared" si="2"/>
        <v>-2.2587925699999997E-2</v>
      </c>
    </row>
    <row r="17" spans="1:11" s="5" customFormat="1" x14ac:dyDescent="0.3">
      <c r="A17" s="3" t="s">
        <v>15</v>
      </c>
      <c r="B17" s="4">
        <v>16</v>
      </c>
      <c r="C17" s="3">
        <v>-0.13736595200000001</v>
      </c>
      <c r="D17" s="3">
        <v>-0.22539909</v>
      </c>
      <c r="E17" s="3">
        <v>-0.13802806500000001</v>
      </c>
      <c r="G17" s="3">
        <f t="shared" si="1"/>
        <v>8.8033137999999983E-2</v>
      </c>
      <c r="I17" s="3">
        <f t="shared" si="0"/>
        <v>6.6211299999999196E-4</v>
      </c>
      <c r="K17" s="3">
        <f t="shared" si="2"/>
        <v>-8.7371024999999991E-2</v>
      </c>
    </row>
    <row r="18" spans="1:11" x14ac:dyDescent="0.3">
      <c r="A18" s="1"/>
      <c r="B18" s="2">
        <v>17</v>
      </c>
      <c r="C18" s="1">
        <v>-3.0795474600000001E-2</v>
      </c>
      <c r="D18" s="1">
        <v>-9.6850078399999998E-2</v>
      </c>
      <c r="E18" s="1">
        <v>-6.0607833399999998E-2</v>
      </c>
      <c r="G18" s="1">
        <f t="shared" si="1"/>
        <v>6.60546038E-2</v>
      </c>
      <c r="I18" s="1">
        <f t="shared" si="0"/>
        <v>2.9812358799999997E-2</v>
      </c>
      <c r="K18" s="1">
        <f t="shared" si="2"/>
        <v>-3.6242244999999999E-2</v>
      </c>
    </row>
    <row r="19" spans="1:11" x14ac:dyDescent="0.3">
      <c r="A19" s="1"/>
      <c r="B19" s="2">
        <v>18</v>
      </c>
      <c r="C19" s="1">
        <v>0.30495895499999998</v>
      </c>
      <c r="D19" s="1">
        <v>0.30495530199999998</v>
      </c>
      <c r="E19" s="1">
        <v>0.30570590600000003</v>
      </c>
      <c r="G19" s="1">
        <f t="shared" si="1"/>
        <v>3.6529999999923568E-6</v>
      </c>
      <c r="I19" s="1">
        <f t="shared" si="0"/>
        <v>-7.4695100000005121E-4</v>
      </c>
      <c r="K19" s="1">
        <f t="shared" si="2"/>
        <v>-7.5060400000004357E-4</v>
      </c>
    </row>
    <row r="20" spans="1:11" x14ac:dyDescent="0.3">
      <c r="A20" s="1"/>
      <c r="B20" s="2">
        <v>19</v>
      </c>
      <c r="C20" s="1">
        <v>-0.54546622199999995</v>
      </c>
      <c r="D20" s="1">
        <v>-0.54807812700000003</v>
      </c>
      <c r="E20" s="1">
        <v>-0.54002777700000004</v>
      </c>
      <c r="G20" s="1">
        <f t="shared" si="1"/>
        <v>2.611905000000081E-3</v>
      </c>
      <c r="I20" s="1">
        <f t="shared" si="0"/>
        <v>-5.4384449999999029E-3</v>
      </c>
      <c r="K20" s="1">
        <f t="shared" si="2"/>
        <v>-8.0503499999999839E-3</v>
      </c>
    </row>
    <row r="21" spans="1:11" x14ac:dyDescent="0.3">
      <c r="A21" s="1"/>
      <c r="B21" s="2">
        <v>20</v>
      </c>
      <c r="C21" s="1">
        <v>0.159201177</v>
      </c>
      <c r="D21" s="1">
        <v>0.15890406000000001</v>
      </c>
      <c r="E21" s="1">
        <v>0.15806287599999999</v>
      </c>
      <c r="G21" s="1">
        <f t="shared" si="1"/>
        <v>2.9711699999998564E-4</v>
      </c>
      <c r="I21" s="1">
        <f t="shared" si="0"/>
        <v>1.1383010000000082E-3</v>
      </c>
      <c r="K21" s="1">
        <f t="shared" si="2"/>
        <v>8.4118400000002258E-4</v>
      </c>
    </row>
    <row r="22" spans="1:11" x14ac:dyDescent="0.3">
      <c r="A22" s="1"/>
      <c r="B22" s="2">
        <v>21</v>
      </c>
      <c r="C22" s="1">
        <v>0.104389698</v>
      </c>
      <c r="D22" s="1">
        <v>0.10532227800000001</v>
      </c>
      <c r="E22" s="1">
        <v>0.110527361</v>
      </c>
      <c r="G22" s="1">
        <f t="shared" si="1"/>
        <v>-9.325800000000023E-4</v>
      </c>
      <c r="I22" s="1">
        <f t="shared" si="0"/>
        <v>-6.1376630000000015E-3</v>
      </c>
      <c r="K22" s="1">
        <f t="shared" si="2"/>
        <v>-5.2050829999999992E-3</v>
      </c>
    </row>
    <row r="23" spans="1:11" x14ac:dyDescent="0.3">
      <c r="A23" s="1"/>
      <c r="B23" s="2">
        <v>22</v>
      </c>
      <c r="C23" s="1">
        <v>0.23982923</v>
      </c>
      <c r="D23" s="1">
        <v>0.23846829899999999</v>
      </c>
      <c r="E23" s="1">
        <v>0.21163806700000001</v>
      </c>
      <c r="G23" s="1">
        <f t="shared" si="1"/>
        <v>1.3609310000000097E-3</v>
      </c>
      <c r="I23" s="1">
        <f t="shared" si="0"/>
        <v>2.8191162999999991E-2</v>
      </c>
      <c r="K23" s="1">
        <f t="shared" si="2"/>
        <v>2.6830231999999982E-2</v>
      </c>
    </row>
    <row r="24" spans="1:11" x14ac:dyDescent="0.3">
      <c r="A24" s="1"/>
      <c r="B24" s="2">
        <v>23</v>
      </c>
      <c r="C24" s="1">
        <v>-0.33728883799999998</v>
      </c>
      <c r="D24" s="1">
        <v>-0.33495092300000001</v>
      </c>
      <c r="E24" s="1">
        <v>-0.31419944</v>
      </c>
      <c r="G24" s="1">
        <f t="shared" si="1"/>
        <v>-2.3379149999999682E-3</v>
      </c>
      <c r="I24" s="1">
        <f t="shared" si="0"/>
        <v>-2.3089397999999983E-2</v>
      </c>
      <c r="K24" s="1">
        <f t="shared" si="2"/>
        <v>-2.0751483000000015E-2</v>
      </c>
    </row>
    <row r="25" spans="1:11" x14ac:dyDescent="0.3">
      <c r="A25" s="1"/>
      <c r="B25" s="2">
        <v>24</v>
      </c>
      <c r="C25" s="1">
        <v>5.7678908600000002E-2</v>
      </c>
      <c r="D25" s="1">
        <v>5.7295113100000003E-2</v>
      </c>
      <c r="E25" s="1">
        <v>6.4406706999999994E-2</v>
      </c>
      <c r="G25" s="1">
        <f t="shared" si="1"/>
        <v>3.8379549999999901E-4</v>
      </c>
      <c r="I25" s="1">
        <f t="shared" si="0"/>
        <v>-6.7277983999999916E-3</v>
      </c>
      <c r="K25" s="1">
        <f t="shared" si="2"/>
        <v>-7.1115938999999906E-3</v>
      </c>
    </row>
    <row r="26" spans="1:11" x14ac:dyDescent="0.3">
      <c r="A26" s="1"/>
      <c r="B26" s="2">
        <v>25</v>
      </c>
      <c r="C26" s="1">
        <v>7.4005404900000002E-2</v>
      </c>
      <c r="D26" s="1">
        <v>7.3820184799999994E-2</v>
      </c>
      <c r="E26" s="1">
        <v>7.7986498799999998E-2</v>
      </c>
      <c r="G26" s="1">
        <f t="shared" si="1"/>
        <v>1.852201000000081E-4</v>
      </c>
      <c r="I26" s="1">
        <f t="shared" si="0"/>
        <v>-3.9810938999999962E-3</v>
      </c>
      <c r="K26" s="1">
        <f t="shared" si="2"/>
        <v>-4.1663140000000043E-3</v>
      </c>
    </row>
    <row r="27" spans="1:11" x14ac:dyDescent="0.3">
      <c r="A27" s="1"/>
      <c r="B27" s="2">
        <v>26</v>
      </c>
      <c r="C27" s="1">
        <v>0.18503025000000001</v>
      </c>
      <c r="D27" s="1">
        <v>0.18528301</v>
      </c>
      <c r="E27" s="1">
        <v>0.15209510300000001</v>
      </c>
      <c r="G27" s="1">
        <f t="shared" si="1"/>
        <v>-2.5275999999999077E-4</v>
      </c>
      <c r="I27" s="1">
        <f t="shared" si="0"/>
        <v>3.2935146999999998E-2</v>
      </c>
      <c r="K27" s="1">
        <f t="shared" si="2"/>
        <v>3.3187906999999989E-2</v>
      </c>
    </row>
    <row r="28" spans="1:11" x14ac:dyDescent="0.3">
      <c r="A28" s="1"/>
      <c r="B28" s="2">
        <v>27</v>
      </c>
      <c r="C28" s="1">
        <v>-0.23874698999999999</v>
      </c>
      <c r="D28" s="1">
        <v>-0.23799018599999999</v>
      </c>
      <c r="E28" s="1">
        <v>-0.231761625</v>
      </c>
      <c r="G28" s="1">
        <f t="shared" si="1"/>
        <v>-7.5680399999999981E-4</v>
      </c>
      <c r="I28" s="1">
        <f t="shared" si="0"/>
        <v>-6.9853649999999934E-3</v>
      </c>
      <c r="K28" s="1">
        <f t="shared" si="2"/>
        <v>-6.2285609999999936E-3</v>
      </c>
    </row>
    <row r="29" spans="1:11" x14ac:dyDescent="0.3">
      <c r="A29" s="1"/>
      <c r="B29" s="2">
        <v>28</v>
      </c>
      <c r="C29" s="1">
        <v>6.3855009600000002E-3</v>
      </c>
      <c r="D29" s="1">
        <v>6.5565576000000004E-3</v>
      </c>
      <c r="E29" s="1">
        <v>6.4950006899999998E-3</v>
      </c>
      <c r="G29" s="1">
        <f t="shared" si="1"/>
        <v>-1.710566400000002E-4</v>
      </c>
      <c r="I29" s="1">
        <f t="shared" si="0"/>
        <v>-1.0949972999999957E-4</v>
      </c>
      <c r="K29" s="1">
        <f t="shared" si="2"/>
        <v>6.1556910000000638E-5</v>
      </c>
    </row>
    <row r="30" spans="1:11" x14ac:dyDescent="0.3">
      <c r="A30" s="1"/>
      <c r="B30" s="2">
        <v>29</v>
      </c>
      <c r="C30" s="1">
        <v>2.4029977300000002E-2</v>
      </c>
      <c r="D30" s="1">
        <v>2.4292624299999999E-2</v>
      </c>
      <c r="E30" s="1">
        <v>2.4536633700000001E-2</v>
      </c>
      <c r="G30" s="1">
        <f t="shared" si="1"/>
        <v>-2.626469999999978E-4</v>
      </c>
      <c r="I30" s="1">
        <f t="shared" si="0"/>
        <v>-5.0665639999999956E-4</v>
      </c>
      <c r="K30" s="1">
        <f t="shared" si="2"/>
        <v>-2.4400940000000176E-4</v>
      </c>
    </row>
    <row r="31" spans="1:11" x14ac:dyDescent="0.3">
      <c r="A31" s="1"/>
      <c r="B31" s="2">
        <v>30</v>
      </c>
      <c r="C31" s="1">
        <v>0.209183691</v>
      </c>
      <c r="D31" s="1">
        <v>0.21441612600000001</v>
      </c>
      <c r="E31" s="1">
        <v>0.21437197299999999</v>
      </c>
      <c r="G31" s="1">
        <f t="shared" si="1"/>
        <v>-5.2324350000000075E-3</v>
      </c>
      <c r="I31" s="1">
        <f t="shared" si="0"/>
        <v>-5.1882819999999885E-3</v>
      </c>
      <c r="K31" s="1">
        <f t="shared" si="2"/>
        <v>4.4153000000018983E-5</v>
      </c>
    </row>
    <row r="32" spans="1:11" x14ac:dyDescent="0.3">
      <c r="A32" s="1"/>
      <c r="B32" s="2">
        <v>31</v>
      </c>
      <c r="C32" s="1">
        <v>-0.302489701</v>
      </c>
      <c r="D32" s="1">
        <v>-0.328933847</v>
      </c>
      <c r="E32" s="1">
        <v>-0.30608787900000001</v>
      </c>
      <c r="G32" s="1">
        <f t="shared" si="1"/>
        <v>2.6444146000000002E-2</v>
      </c>
      <c r="I32" s="1">
        <f t="shared" si="0"/>
        <v>3.5981780000000074E-3</v>
      </c>
      <c r="K32" s="1">
        <f t="shared" si="2"/>
        <v>-2.2845967999999994E-2</v>
      </c>
    </row>
    <row r="33" spans="1:11" x14ac:dyDescent="0.3">
      <c r="A33" s="1"/>
      <c r="B33" s="2">
        <v>32</v>
      </c>
      <c r="C33" s="1">
        <v>6.2007023000000001E-2</v>
      </c>
      <c r="D33" s="1">
        <v>6.3457219800000006E-2</v>
      </c>
      <c r="E33" s="1">
        <v>6.1901876600000003E-2</v>
      </c>
      <c r="G33" s="1">
        <f t="shared" si="1"/>
        <v>-1.4501968000000046E-3</v>
      </c>
      <c r="I33" s="1">
        <f t="shared" si="0"/>
        <v>1.0514639999999881E-4</v>
      </c>
      <c r="K33" s="1">
        <f t="shared" si="2"/>
        <v>1.5553432000000034E-3</v>
      </c>
    </row>
    <row r="34" spans="1:11" x14ac:dyDescent="0.3">
      <c r="A34" s="1"/>
      <c r="B34" s="2">
        <v>33</v>
      </c>
      <c r="C34" s="1">
        <v>4.5748303099999998E-2</v>
      </c>
      <c r="D34" s="1">
        <v>6.2374219799999998E-2</v>
      </c>
      <c r="E34" s="1">
        <v>4.9324353500000001E-2</v>
      </c>
      <c r="G34" s="1">
        <f t="shared" si="1"/>
        <v>-1.66259167E-2</v>
      </c>
      <c r="I34" s="1">
        <f t="shared" ref="I34:I61" si="3">C34-E34</f>
        <v>-3.5760504000000026E-3</v>
      </c>
      <c r="K34" s="1">
        <f t="shared" si="2"/>
        <v>1.3049866299999997E-2</v>
      </c>
    </row>
    <row r="35" spans="1:11" x14ac:dyDescent="0.3">
      <c r="A35" s="1"/>
      <c r="B35" s="2">
        <v>34</v>
      </c>
      <c r="C35" s="1">
        <v>0.40448696699999998</v>
      </c>
      <c r="D35" s="1">
        <v>0.39643564799999997</v>
      </c>
      <c r="E35" s="1">
        <v>0.40343231299999999</v>
      </c>
      <c r="G35" s="1">
        <f t="shared" si="1"/>
        <v>8.0513190000000012E-3</v>
      </c>
      <c r="I35" s="1">
        <f t="shared" si="3"/>
        <v>1.0546539999999882E-3</v>
      </c>
      <c r="K35" s="1">
        <f t="shared" si="2"/>
        <v>-6.996665000000013E-3</v>
      </c>
    </row>
    <row r="36" spans="1:11" x14ac:dyDescent="0.3">
      <c r="A36" s="1"/>
      <c r="B36" s="2">
        <v>35</v>
      </c>
      <c r="C36" s="1">
        <v>-1.04307565</v>
      </c>
      <c r="D36" s="1">
        <v>-1.0295769699999999</v>
      </c>
      <c r="E36" s="1">
        <v>-1.04377499</v>
      </c>
      <c r="G36" s="1">
        <f t="shared" si="1"/>
        <v>-1.3498680000000096E-2</v>
      </c>
      <c r="I36" s="1">
        <f t="shared" si="3"/>
        <v>6.9933999999993723E-4</v>
      </c>
      <c r="K36" s="1">
        <f t="shared" si="2"/>
        <v>1.4198020000000033E-2</v>
      </c>
    </row>
    <row r="37" spans="1:11" x14ac:dyDescent="0.3">
      <c r="A37" s="1"/>
      <c r="B37" s="2">
        <v>36</v>
      </c>
      <c r="C37" s="1">
        <v>0.24863025599999999</v>
      </c>
      <c r="D37" s="1">
        <v>0.25152211000000002</v>
      </c>
      <c r="E37" s="1">
        <v>0.25047337400000003</v>
      </c>
      <c r="G37" s="1">
        <f t="shared" si="1"/>
        <v>-2.891854000000027E-3</v>
      </c>
      <c r="I37" s="1">
        <f t="shared" si="3"/>
        <v>-1.8431180000000325E-3</v>
      </c>
      <c r="K37" s="1">
        <f t="shared" si="2"/>
        <v>1.0487359999999946E-3</v>
      </c>
    </row>
    <row r="38" spans="1:11" x14ac:dyDescent="0.3">
      <c r="A38" s="1"/>
      <c r="B38" s="2">
        <v>37</v>
      </c>
      <c r="C38" s="1">
        <v>0.24734967899999999</v>
      </c>
      <c r="D38" s="1">
        <v>0.24213332700000001</v>
      </c>
      <c r="E38" s="1">
        <v>0.24933439399999999</v>
      </c>
      <c r="G38" s="1">
        <f t="shared" si="1"/>
        <v>5.2163519999999797E-3</v>
      </c>
      <c r="I38" s="1">
        <f t="shared" si="3"/>
        <v>-1.984714999999998E-3</v>
      </c>
      <c r="K38" s="1">
        <f t="shared" si="2"/>
        <v>-7.2010669999999777E-3</v>
      </c>
    </row>
    <row r="39" spans="1:11" x14ac:dyDescent="0.3">
      <c r="A39" s="1"/>
      <c r="B39" s="2">
        <v>38</v>
      </c>
      <c r="C39" s="1">
        <v>0.140835764</v>
      </c>
      <c r="D39" s="1">
        <v>0.14025727199999999</v>
      </c>
      <c r="E39" s="1">
        <v>0.140533456</v>
      </c>
      <c r="G39" s="1">
        <f t="shared" si="1"/>
        <v>5.7849200000001377E-4</v>
      </c>
      <c r="I39" s="1">
        <f t="shared" si="3"/>
        <v>3.0230800000000113E-4</v>
      </c>
      <c r="K39" s="1">
        <f t="shared" si="2"/>
        <v>-2.7618400000001264E-4</v>
      </c>
    </row>
    <row r="40" spans="1:11" x14ac:dyDescent="0.3">
      <c r="A40" s="1"/>
      <c r="B40" s="2">
        <v>39</v>
      </c>
      <c r="C40" s="1">
        <v>-0.32567072000000002</v>
      </c>
      <c r="D40" s="1">
        <v>-0.32140314399999997</v>
      </c>
      <c r="E40" s="1">
        <v>-0.324642714</v>
      </c>
      <c r="G40" s="1">
        <f t="shared" si="1"/>
        <v>-4.2675760000000507E-3</v>
      </c>
      <c r="I40" s="1">
        <f t="shared" si="3"/>
        <v>-1.0280060000000257E-3</v>
      </c>
      <c r="K40" s="1">
        <f t="shared" si="2"/>
        <v>3.2395700000000249E-3</v>
      </c>
    </row>
    <row r="41" spans="1:11" x14ac:dyDescent="0.3">
      <c r="A41" s="1"/>
      <c r="B41" s="2">
        <v>40</v>
      </c>
      <c r="C41" s="1">
        <v>2.8153656499999999E-2</v>
      </c>
      <c r="D41" s="1">
        <v>3.0018088299999999E-2</v>
      </c>
      <c r="E41" s="1">
        <v>2.8993916099999999E-2</v>
      </c>
      <c r="G41" s="1">
        <f t="shared" si="1"/>
        <v>-1.8644318E-3</v>
      </c>
      <c r="I41" s="1">
        <f t="shared" si="3"/>
        <v>-8.4025960000000052E-4</v>
      </c>
      <c r="K41" s="1">
        <f t="shared" si="2"/>
        <v>1.0241721999999995E-3</v>
      </c>
    </row>
    <row r="42" spans="1:11" x14ac:dyDescent="0.3">
      <c r="A42" s="1"/>
      <c r="B42" s="2">
        <v>41</v>
      </c>
      <c r="C42" s="1">
        <v>3.9060612500000001E-2</v>
      </c>
      <c r="D42" s="1">
        <v>3.5741661700000003E-2</v>
      </c>
      <c r="E42" s="1">
        <v>3.7731226800000003E-2</v>
      </c>
      <c r="G42" s="1">
        <f t="shared" si="1"/>
        <v>3.3189507999999979E-3</v>
      </c>
      <c r="I42" s="1">
        <f t="shared" si="3"/>
        <v>1.3293856999999978E-3</v>
      </c>
      <c r="K42" s="1">
        <f t="shared" si="2"/>
        <v>-1.9895651E-3</v>
      </c>
    </row>
    <row r="43" spans="1:11" x14ac:dyDescent="0.3">
      <c r="A43" s="1"/>
      <c r="B43" s="2">
        <v>42</v>
      </c>
      <c r="C43" s="1">
        <v>0.171686535</v>
      </c>
      <c r="D43" s="1">
        <v>0.17217268099999999</v>
      </c>
      <c r="E43" s="1">
        <v>0.17282655399999999</v>
      </c>
      <c r="G43" s="1">
        <f t="shared" si="1"/>
        <v>-4.8614599999999286E-4</v>
      </c>
      <c r="I43" s="1">
        <f t="shared" si="3"/>
        <v>-1.1400189999999921E-3</v>
      </c>
      <c r="K43" s="1">
        <f t="shared" si="2"/>
        <v>-6.5387299999999926E-4</v>
      </c>
    </row>
    <row r="44" spans="1:11" x14ac:dyDescent="0.3">
      <c r="A44" s="1"/>
      <c r="B44" s="2">
        <v>43</v>
      </c>
      <c r="C44" s="1">
        <v>0.239728205</v>
      </c>
      <c r="D44" s="1">
        <v>0.23958381400000001</v>
      </c>
      <c r="E44" s="1">
        <v>0.23533080000000001</v>
      </c>
      <c r="G44" s="1">
        <f t="shared" si="1"/>
        <v>1.4439099999999372E-4</v>
      </c>
      <c r="I44" s="1">
        <f t="shared" si="3"/>
        <v>4.3974049999999931E-3</v>
      </c>
      <c r="K44" s="1">
        <f t="shared" si="2"/>
        <v>4.2530139999999994E-3</v>
      </c>
    </row>
    <row r="45" spans="1:11" x14ac:dyDescent="0.3">
      <c r="A45" s="1"/>
      <c r="B45" s="2">
        <v>44</v>
      </c>
      <c r="C45" s="1">
        <v>0.23541087299999999</v>
      </c>
      <c r="D45" s="1">
        <v>0.23563903</v>
      </c>
      <c r="E45" s="1">
        <v>0.23881612799999999</v>
      </c>
      <c r="G45" s="1">
        <f t="shared" si="1"/>
        <v>-2.281570000000066E-4</v>
      </c>
      <c r="I45" s="1">
        <f t="shared" si="3"/>
        <v>-3.4052549999999959E-3</v>
      </c>
      <c r="K45" s="1">
        <f t="shared" si="2"/>
        <v>-3.1770979999999893E-3</v>
      </c>
    </row>
    <row r="46" spans="1:11" x14ac:dyDescent="0.3">
      <c r="A46" s="1"/>
      <c r="B46" s="2">
        <v>45</v>
      </c>
      <c r="C46" s="1">
        <v>0.211759167</v>
      </c>
      <c r="D46" s="1">
        <v>0.21164387300000001</v>
      </c>
      <c r="E46" s="1">
        <v>0.23878809600000001</v>
      </c>
      <c r="G46" s="1">
        <f t="shared" si="1"/>
        <v>1.1529399999998802E-4</v>
      </c>
      <c r="I46" s="1">
        <f t="shared" si="3"/>
        <v>-2.7028929000000007E-2</v>
      </c>
      <c r="K46" s="1">
        <f t="shared" si="2"/>
        <v>-2.7144222999999995E-2</v>
      </c>
    </row>
    <row r="47" spans="1:11" x14ac:dyDescent="0.3">
      <c r="A47" s="1"/>
      <c r="B47" s="2">
        <v>46</v>
      </c>
      <c r="C47" s="1">
        <v>0.19862305799999999</v>
      </c>
      <c r="D47" s="1">
        <v>0.199075962</v>
      </c>
      <c r="E47" s="1">
        <v>0.18645900300000001</v>
      </c>
      <c r="G47" s="1">
        <f t="shared" si="1"/>
        <v>-4.5290400000000397E-4</v>
      </c>
      <c r="I47" s="1">
        <f t="shared" si="3"/>
        <v>1.2164054999999979E-2</v>
      </c>
      <c r="K47" s="1">
        <f t="shared" si="2"/>
        <v>1.2616958999999983E-2</v>
      </c>
    </row>
    <row r="48" spans="1:11" x14ac:dyDescent="0.3">
      <c r="A48" s="1"/>
      <c r="B48" s="2">
        <v>47</v>
      </c>
      <c r="C48" s="1">
        <v>0.218165102</v>
      </c>
      <c r="D48" s="1">
        <v>0.218387689</v>
      </c>
      <c r="E48" s="1">
        <v>0.21689034300000001</v>
      </c>
      <c r="G48" s="1">
        <f t="shared" si="1"/>
        <v>-2.2258699999999632E-4</v>
      </c>
      <c r="I48" s="1">
        <f t="shared" si="3"/>
        <v>1.2747589999999864E-3</v>
      </c>
      <c r="K48" s="1">
        <f t="shared" si="2"/>
        <v>1.4973459999999827E-3</v>
      </c>
    </row>
    <row r="49" spans="1:11" x14ac:dyDescent="0.3">
      <c r="A49" s="1"/>
      <c r="B49" s="2">
        <v>48</v>
      </c>
      <c r="C49" s="1">
        <v>0.23954267800000001</v>
      </c>
      <c r="D49" s="1">
        <v>0.240149524</v>
      </c>
      <c r="E49" s="1">
        <v>0.233313244</v>
      </c>
      <c r="G49" s="1">
        <f t="shared" si="1"/>
        <v>-6.0684599999999422E-4</v>
      </c>
      <c r="I49" s="1">
        <f t="shared" si="3"/>
        <v>6.2294340000000059E-3</v>
      </c>
      <c r="K49" s="1">
        <f t="shared" si="2"/>
        <v>6.8362800000000001E-3</v>
      </c>
    </row>
    <row r="50" spans="1:11" x14ac:dyDescent="0.3">
      <c r="A50" s="1"/>
      <c r="B50" s="2">
        <v>49</v>
      </c>
      <c r="C50" s="1">
        <v>0.14755038000000001</v>
      </c>
      <c r="D50" s="1">
        <v>0.168189847</v>
      </c>
      <c r="E50" s="1">
        <v>0.14636360100000001</v>
      </c>
      <c r="G50" s="1">
        <f t="shared" si="1"/>
        <v>-2.0639466999999995E-2</v>
      </c>
      <c r="I50" s="1">
        <f t="shared" si="3"/>
        <v>1.1867789999999989E-3</v>
      </c>
      <c r="K50" s="1">
        <f t="shared" si="2"/>
        <v>2.1826245999999994E-2</v>
      </c>
    </row>
    <row r="51" spans="1:11" x14ac:dyDescent="0.3">
      <c r="A51" s="1"/>
      <c r="B51" s="2">
        <v>50</v>
      </c>
      <c r="C51" s="1">
        <v>0.236428309</v>
      </c>
      <c r="D51" s="1">
        <v>0.24606193900000001</v>
      </c>
      <c r="E51" s="1">
        <v>0.23750590499999999</v>
      </c>
      <c r="G51" s="1">
        <f t="shared" si="1"/>
        <v>-9.6336300000000041E-3</v>
      </c>
      <c r="I51" s="1">
        <f t="shared" si="3"/>
        <v>-1.0775959999999862E-3</v>
      </c>
      <c r="K51" s="1">
        <f t="shared" si="2"/>
        <v>8.5560340000000179E-3</v>
      </c>
    </row>
    <row r="52" spans="1:11" x14ac:dyDescent="0.3">
      <c r="A52" s="1"/>
      <c r="B52" s="2">
        <v>51</v>
      </c>
      <c r="C52" s="1">
        <v>0.231175299</v>
      </c>
      <c r="D52" s="1">
        <v>0.229280864</v>
      </c>
      <c r="E52" s="1">
        <v>0.230633651</v>
      </c>
      <c r="G52" s="1">
        <f t="shared" si="1"/>
        <v>1.8944349999999999E-3</v>
      </c>
      <c r="I52" s="1">
        <f t="shared" si="3"/>
        <v>5.4164800000000568E-4</v>
      </c>
      <c r="K52" s="1">
        <f t="shared" si="2"/>
        <v>-1.3527869999999942E-3</v>
      </c>
    </row>
    <row r="53" spans="1:11" x14ac:dyDescent="0.3">
      <c r="A53" s="1"/>
      <c r="B53" s="2">
        <v>52</v>
      </c>
      <c r="C53" s="1">
        <v>0.190224903</v>
      </c>
      <c r="D53" s="1">
        <v>0.187065117</v>
      </c>
      <c r="E53" s="1">
        <v>0.19176907600000001</v>
      </c>
      <c r="G53" s="1">
        <f t="shared" si="1"/>
        <v>3.1597859999999978E-3</v>
      </c>
      <c r="I53" s="1">
        <f t="shared" si="3"/>
        <v>-1.5441730000000098E-3</v>
      </c>
      <c r="K53" s="1">
        <f t="shared" si="2"/>
        <v>-4.7039590000000076E-3</v>
      </c>
    </row>
    <row r="54" spans="1:11" x14ac:dyDescent="0.3">
      <c r="A54" s="1"/>
      <c r="B54" s="2">
        <v>53</v>
      </c>
      <c r="C54" s="1">
        <v>0.204362506</v>
      </c>
      <c r="D54" s="1">
        <v>0.20331302700000001</v>
      </c>
      <c r="E54" s="1">
        <v>0.205982685</v>
      </c>
      <c r="G54" s="1">
        <f t="shared" si="1"/>
        <v>1.0494789999999921E-3</v>
      </c>
      <c r="I54" s="1">
        <f t="shared" si="3"/>
        <v>-1.6201789999999994E-3</v>
      </c>
      <c r="K54" s="1">
        <f t="shared" si="2"/>
        <v>-2.6696579999999914E-3</v>
      </c>
    </row>
    <row r="55" spans="1:11" x14ac:dyDescent="0.3">
      <c r="A55" s="1"/>
      <c r="B55" s="2">
        <v>54</v>
      </c>
      <c r="C55" s="1">
        <v>0.206594582</v>
      </c>
      <c r="D55" s="1">
        <v>0.20740204600000001</v>
      </c>
      <c r="E55" s="1">
        <v>0.20729725500000001</v>
      </c>
      <c r="G55" s="1">
        <f t="shared" si="1"/>
        <v>-8.0746400000000773E-4</v>
      </c>
      <c r="I55" s="1">
        <f t="shared" si="3"/>
        <v>-7.0267300000001476E-4</v>
      </c>
      <c r="K55" s="1">
        <f t="shared" si="2"/>
        <v>1.0479099999999297E-4</v>
      </c>
    </row>
    <row r="56" spans="1:11" x14ac:dyDescent="0.3">
      <c r="A56" s="1"/>
      <c r="B56" s="2">
        <v>55</v>
      </c>
      <c r="C56" s="1">
        <v>0.20044457500000001</v>
      </c>
      <c r="D56" s="1">
        <v>0.20043297600000001</v>
      </c>
      <c r="E56" s="1">
        <v>0.20003853899999999</v>
      </c>
      <c r="G56" s="1">
        <f t="shared" si="1"/>
        <v>1.1599000000001025E-5</v>
      </c>
      <c r="I56" s="1">
        <f t="shared" si="3"/>
        <v>4.0603600000002626E-4</v>
      </c>
      <c r="K56" s="1">
        <f t="shared" si="2"/>
        <v>3.9443700000002524E-4</v>
      </c>
    </row>
    <row r="57" spans="1:11" s="5" customFormat="1" x14ac:dyDescent="0.3">
      <c r="A57" s="3" t="s">
        <v>15</v>
      </c>
      <c r="B57" s="4">
        <v>56</v>
      </c>
      <c r="C57" s="3">
        <v>-0.187185501</v>
      </c>
      <c r="D57" s="3">
        <v>-0.186951705</v>
      </c>
      <c r="E57" s="3">
        <v>-0.21563474599999999</v>
      </c>
      <c r="G57" s="3">
        <f t="shared" si="1"/>
        <v>-2.3379600000000833E-4</v>
      </c>
      <c r="I57" s="3">
        <f t="shared" si="3"/>
        <v>2.8449244999999984E-2</v>
      </c>
      <c r="K57" s="3">
        <f t="shared" si="2"/>
        <v>2.8683040999999992E-2</v>
      </c>
    </row>
    <row r="58" spans="1:11" s="5" customFormat="1" x14ac:dyDescent="0.3">
      <c r="A58" s="3" t="s">
        <v>15</v>
      </c>
      <c r="B58" s="4">
        <v>57</v>
      </c>
      <c r="C58" s="3">
        <v>0.15841680899999999</v>
      </c>
      <c r="D58" s="3">
        <v>0.15841525000000001</v>
      </c>
      <c r="E58" s="3">
        <v>0.16676001900000001</v>
      </c>
      <c r="G58" s="3">
        <f t="shared" si="1"/>
        <v>1.5589999999843229E-6</v>
      </c>
      <c r="I58" s="3">
        <f t="shared" si="3"/>
        <v>-8.3432100000000176E-3</v>
      </c>
      <c r="K58" s="3">
        <f t="shared" si="2"/>
        <v>-8.3447690000000019E-3</v>
      </c>
    </row>
    <row r="59" spans="1:11" s="5" customFormat="1" x14ac:dyDescent="0.3">
      <c r="A59" s="3" t="s">
        <v>15</v>
      </c>
      <c r="B59" s="4">
        <v>58</v>
      </c>
      <c r="C59" s="3">
        <v>0.14639967000000001</v>
      </c>
      <c r="D59" s="3">
        <v>0.14657772799999999</v>
      </c>
      <c r="E59" s="3">
        <v>0.160587323</v>
      </c>
      <c r="G59" s="3">
        <f t="shared" si="1"/>
        <v>-1.7805799999998095E-4</v>
      </c>
      <c r="I59" s="3">
        <f t="shared" si="3"/>
        <v>-1.4187652999999995E-2</v>
      </c>
      <c r="K59" s="3">
        <f t="shared" si="2"/>
        <v>-1.4009595000000014E-2</v>
      </c>
    </row>
    <row r="60" spans="1:11" s="5" customFormat="1" x14ac:dyDescent="0.3">
      <c r="A60" s="3" t="s">
        <v>15</v>
      </c>
      <c r="B60" s="4">
        <v>59</v>
      </c>
      <c r="C60" s="3">
        <v>0.16140642299999999</v>
      </c>
      <c r="D60" s="3">
        <v>0.16154279099999999</v>
      </c>
      <c r="E60" s="3">
        <v>0.141111283</v>
      </c>
      <c r="G60" s="3">
        <f t="shared" si="1"/>
        <v>-1.3636799999999782E-4</v>
      </c>
      <c r="I60" s="3">
        <f t="shared" si="3"/>
        <v>2.0295139999999989E-2</v>
      </c>
      <c r="K60" s="3">
        <f t="shared" si="2"/>
        <v>2.0431507999999987E-2</v>
      </c>
    </row>
    <row r="61" spans="1:11" s="5" customFormat="1" x14ac:dyDescent="0.3">
      <c r="A61" s="3" t="s">
        <v>15</v>
      </c>
      <c r="B61" s="4">
        <v>60</v>
      </c>
      <c r="C61" s="3">
        <v>-0.220696277</v>
      </c>
      <c r="D61" s="3">
        <v>0.25745304200000002</v>
      </c>
      <c r="E61" s="3">
        <v>0.25131968700000001</v>
      </c>
      <c r="G61" s="3">
        <f t="shared" si="1"/>
        <v>-0.47814931900000002</v>
      </c>
      <c r="I61" s="3">
        <f t="shared" si="3"/>
        <v>-0.47201596400000001</v>
      </c>
      <c r="K61" s="3">
        <f t="shared" si="2"/>
        <v>6.133355000000007E-3</v>
      </c>
    </row>
    <row r="62" spans="1:11" s="5" customFormat="1" x14ac:dyDescent="0.3">
      <c r="A62" s="3" t="s">
        <v>15</v>
      </c>
      <c r="B62" s="4">
        <v>61</v>
      </c>
      <c r="C62" s="3">
        <v>0.166742902</v>
      </c>
    </row>
    <row r="63" spans="1:11" s="5" customFormat="1" x14ac:dyDescent="0.3">
      <c r="A63" s="3" t="s">
        <v>15</v>
      </c>
      <c r="B63" s="4">
        <v>62</v>
      </c>
      <c r="C63" s="3">
        <v>0.160518882</v>
      </c>
    </row>
    <row r="64" spans="1:11" s="5" customFormat="1" x14ac:dyDescent="0.3">
      <c r="A64" s="3" t="s">
        <v>15</v>
      </c>
      <c r="B64" s="4">
        <v>63</v>
      </c>
      <c r="C64" s="3">
        <v>0.14059833199999999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505A-3115-448C-B3CD-FA3B31F9E24C}">
  <dimension ref="A1:W1048576"/>
  <sheetViews>
    <sheetView zoomScale="94" workbookViewId="0">
      <selection activeCell="J12" sqref="J12:L12"/>
    </sheetView>
  </sheetViews>
  <sheetFormatPr defaultRowHeight="14.4" x14ac:dyDescent="0.3"/>
  <cols>
    <col min="4" max="8" width="8.88671875" customWidth="1"/>
    <col min="10" max="11" width="8.88671875" customWidth="1"/>
    <col min="21" max="21" width="10.6640625" bestFit="1" customWidth="1"/>
  </cols>
  <sheetData>
    <row r="1" spans="1:23" x14ac:dyDescent="0.3">
      <c r="C1" t="s">
        <v>24</v>
      </c>
      <c r="D1" s="9" t="s">
        <v>23</v>
      </c>
      <c r="E1" s="10">
        <v>53</v>
      </c>
      <c r="G1">
        <v>32</v>
      </c>
      <c r="I1" t="s">
        <v>56</v>
      </c>
      <c r="J1" t="s">
        <v>46</v>
      </c>
      <c r="K1" t="s">
        <v>48</v>
      </c>
      <c r="L1" t="s">
        <v>49</v>
      </c>
      <c r="N1" t="s">
        <v>50</v>
      </c>
      <c r="P1" t="s">
        <v>51</v>
      </c>
      <c r="R1" t="s">
        <v>52</v>
      </c>
      <c r="T1" t="s">
        <v>54</v>
      </c>
      <c r="U1" t="s">
        <v>50</v>
      </c>
      <c r="V1" t="s">
        <v>55</v>
      </c>
      <c r="W1" t="s">
        <v>54</v>
      </c>
    </row>
    <row r="2" spans="1:23" s="1" customFormat="1" x14ac:dyDescent="0.3">
      <c r="A2"/>
      <c r="B2">
        <v>1</v>
      </c>
      <c r="C2" s="1">
        <v>-4.1091305299999999E-2</v>
      </c>
      <c r="D2" s="11"/>
      <c r="E2" s="12">
        <v>-0.30481483399999998</v>
      </c>
      <c r="G2" s="1">
        <v>-8.8585433899999996E-2</v>
      </c>
      <c r="I2" s="1" t="s">
        <v>25</v>
      </c>
      <c r="J2" s="1">
        <v>-8.8585433899999996E-2</v>
      </c>
      <c r="K2" s="12">
        <v>-3.1210252899999999E-2</v>
      </c>
      <c r="L2" s="1">
        <v>-1.6004119099999999E-2</v>
      </c>
      <c r="N2" s="1">
        <f>L2-K2</f>
        <v>1.52061338E-2</v>
      </c>
      <c r="P2" s="1">
        <f>L2-J2</f>
        <v>7.2581314799999991E-2</v>
      </c>
      <c r="R2" s="1">
        <f>K2-J2</f>
        <v>5.7375180999999997E-2</v>
      </c>
      <c r="U2" s="1">
        <f>N2*2600</f>
        <v>39.535947880000002</v>
      </c>
      <c r="W2" s="1">
        <f>N2*27</f>
        <v>0.41056561260000002</v>
      </c>
    </row>
    <row r="3" spans="1:23" s="1" customFormat="1" x14ac:dyDescent="0.3">
      <c r="A3"/>
      <c r="B3">
        <v>2</v>
      </c>
      <c r="C3" s="1">
        <v>-0.61025675199999996</v>
      </c>
      <c r="D3" s="11"/>
      <c r="E3" s="12">
        <v>-0.32240310100000003</v>
      </c>
      <c r="G3" s="1">
        <v>-0.29707573399999998</v>
      </c>
      <c r="I3" s="1" t="s">
        <v>26</v>
      </c>
      <c r="J3" s="1">
        <v>0.182719627</v>
      </c>
      <c r="K3" s="12">
        <v>-0.30481483399999998</v>
      </c>
      <c r="L3" s="1">
        <v>-4.1091305299999999E-2</v>
      </c>
      <c r="N3" s="6">
        <f t="shared" ref="N3:N25" si="0">L3-K3</f>
        <v>0.26372352869999999</v>
      </c>
      <c r="P3" s="6">
        <f t="shared" ref="P3:P25" si="1">L3-J3</f>
        <v>-0.22381093229999999</v>
      </c>
      <c r="R3" s="6">
        <f t="shared" ref="R3:R25" si="2">K3-J3</f>
        <v>-0.48753446099999997</v>
      </c>
      <c r="U3" s="1">
        <f t="shared" ref="U3:U25" si="3">N3*2600</f>
        <v>685.68117461999998</v>
      </c>
      <c r="W3" s="1">
        <f t="shared" ref="W3:W25" si="4">N3*27</f>
        <v>7.1205352748999999</v>
      </c>
    </row>
    <row r="4" spans="1:23" s="1" customFormat="1" x14ac:dyDescent="0.3">
      <c r="A4"/>
      <c r="B4">
        <v>3</v>
      </c>
      <c r="C4" s="1">
        <v>-0.291235095</v>
      </c>
      <c r="D4" s="11"/>
      <c r="E4" s="12">
        <v>-0.22297377600000001</v>
      </c>
      <c r="G4" s="1">
        <v>0.182719627</v>
      </c>
      <c r="I4" s="1" t="s">
        <v>27</v>
      </c>
      <c r="J4" s="1">
        <v>0.13624878100000001</v>
      </c>
      <c r="K4" s="12">
        <v>0.13965396799999999</v>
      </c>
      <c r="L4" s="1">
        <v>0.13970347899999999</v>
      </c>
      <c r="N4" s="1">
        <f t="shared" si="0"/>
        <v>4.9511000000002081E-5</v>
      </c>
      <c r="P4" s="1">
        <f t="shared" si="1"/>
        <v>3.4546979999999783E-3</v>
      </c>
      <c r="R4" s="1">
        <f t="shared" si="2"/>
        <v>3.4051869999999762E-3</v>
      </c>
      <c r="U4" s="1">
        <f t="shared" si="3"/>
        <v>0.12872860000000541</v>
      </c>
      <c r="W4" s="1">
        <f t="shared" si="4"/>
        <v>1.3367970000000562E-3</v>
      </c>
    </row>
    <row r="5" spans="1:23" s="1" customFormat="1" x14ac:dyDescent="0.3">
      <c r="A5"/>
      <c r="B5">
        <v>4</v>
      </c>
      <c r="C5" s="1">
        <v>-0.31868425099999997</v>
      </c>
      <c r="D5" s="11"/>
      <c r="E5" s="12">
        <v>-0.44990539899999998</v>
      </c>
      <c r="G5" s="1">
        <v>-9.3339327900000005E-2</v>
      </c>
      <c r="I5" s="1" t="s">
        <v>39</v>
      </c>
      <c r="J5" s="3">
        <v>-0.15073273400000001</v>
      </c>
      <c r="K5" s="12">
        <v>0.15084191599999999</v>
      </c>
      <c r="L5" s="1">
        <v>0.17574047300000001</v>
      </c>
      <c r="N5" s="1">
        <f t="shared" si="0"/>
        <v>2.4898557000000016E-2</v>
      </c>
      <c r="P5" s="6">
        <f t="shared" si="1"/>
        <v>0.32647320700000004</v>
      </c>
      <c r="R5" s="6">
        <f t="shared" si="2"/>
        <v>0.30157465</v>
      </c>
      <c r="U5" s="1">
        <f t="shared" si="3"/>
        <v>64.736248200000034</v>
      </c>
      <c r="W5" s="1">
        <f t="shared" si="4"/>
        <v>0.67226103900000045</v>
      </c>
    </row>
    <row r="6" spans="1:23" s="1" customFormat="1" x14ac:dyDescent="0.3">
      <c r="A6"/>
      <c r="B6">
        <v>5</v>
      </c>
      <c r="C6" s="1">
        <v>3.4583245499999998E-2</v>
      </c>
      <c r="D6" s="11"/>
      <c r="E6" s="12">
        <v>0.140549335</v>
      </c>
      <c r="G6" s="1">
        <v>0.178963553</v>
      </c>
      <c r="I6" s="1" t="s">
        <v>28</v>
      </c>
      <c r="J6" s="1">
        <v>-0.62806883800000002</v>
      </c>
      <c r="K6" s="12">
        <v>-0.32240310100000003</v>
      </c>
      <c r="L6" s="1">
        <v>-0.61025675199999996</v>
      </c>
      <c r="N6" s="6">
        <f t="shared" si="0"/>
        <v>-0.28785365099999993</v>
      </c>
      <c r="P6" s="1">
        <f t="shared" si="1"/>
        <v>1.781208600000006E-2</v>
      </c>
      <c r="R6" s="6">
        <f t="shared" si="2"/>
        <v>0.30566573699999999</v>
      </c>
      <c r="U6" s="1">
        <f t="shared" si="3"/>
        <v>-748.41949259999978</v>
      </c>
      <c r="W6" s="1">
        <f t="shared" si="4"/>
        <v>-7.7720485769999978</v>
      </c>
    </row>
    <row r="7" spans="1:23" s="1" customFormat="1" x14ac:dyDescent="0.3">
      <c r="A7"/>
      <c r="B7">
        <v>6</v>
      </c>
      <c r="C7" s="1">
        <v>-1.6004119099999999E-2</v>
      </c>
      <c r="D7" s="11"/>
      <c r="E7" s="12">
        <v>-3.1210252899999999E-2</v>
      </c>
      <c r="G7" s="1">
        <v>-0.23716135999999999</v>
      </c>
      <c r="I7" s="1" t="s">
        <v>29</v>
      </c>
      <c r="J7" s="1">
        <v>0.22605772399999999</v>
      </c>
      <c r="K7" s="12">
        <v>0.23653974</v>
      </c>
      <c r="L7" s="1">
        <v>0.242920894</v>
      </c>
      <c r="N7" s="1">
        <f t="shared" si="0"/>
        <v>6.381154E-3</v>
      </c>
      <c r="P7" s="1">
        <f t="shared" si="1"/>
        <v>1.6863170000000011E-2</v>
      </c>
      <c r="R7" s="1">
        <f t="shared" si="2"/>
        <v>1.0482016000000011E-2</v>
      </c>
      <c r="U7" s="1">
        <f t="shared" si="3"/>
        <v>16.591000399999999</v>
      </c>
      <c r="W7" s="1">
        <f t="shared" si="4"/>
        <v>0.172291158</v>
      </c>
    </row>
    <row r="8" spans="1:23" s="1" customFormat="1" x14ac:dyDescent="0.3">
      <c r="A8"/>
      <c r="B8">
        <v>7</v>
      </c>
      <c r="C8" s="1">
        <v>0.17574047300000001</v>
      </c>
      <c r="D8" s="11"/>
      <c r="E8" s="12">
        <v>0.15084191599999999</v>
      </c>
      <c r="G8" s="1">
        <v>-0.62806883800000002</v>
      </c>
      <c r="I8" s="1" t="s">
        <v>30</v>
      </c>
      <c r="J8" s="1">
        <v>0.161832849</v>
      </c>
      <c r="K8" s="12">
        <v>0.28292563199999998</v>
      </c>
      <c r="L8" s="1">
        <v>0.20547047299999999</v>
      </c>
      <c r="N8" s="1">
        <f t="shared" si="0"/>
        <v>-7.7455158999999996E-2</v>
      </c>
      <c r="P8" s="1">
        <f t="shared" si="1"/>
        <v>4.3637623999999986E-2</v>
      </c>
      <c r="R8" s="6">
        <f t="shared" si="2"/>
        <v>0.12109278299999998</v>
      </c>
      <c r="U8" s="1">
        <f t="shared" si="3"/>
        <v>-201.38341339999999</v>
      </c>
      <c r="W8" s="1">
        <f t="shared" si="4"/>
        <v>-2.091289293</v>
      </c>
    </row>
    <row r="9" spans="1:23" s="1" customFormat="1" x14ac:dyDescent="0.3">
      <c r="A9" s="5" t="s">
        <v>10</v>
      </c>
      <c r="B9" s="5">
        <v>8</v>
      </c>
      <c r="C9" s="3">
        <v>-7.3503750600000001E-2</v>
      </c>
      <c r="D9" s="13" t="s">
        <v>10</v>
      </c>
      <c r="E9" s="14">
        <v>-0.116193612</v>
      </c>
      <c r="G9" s="1">
        <v>0.13624878100000001</v>
      </c>
      <c r="I9" s="1" t="s">
        <v>47</v>
      </c>
      <c r="J9" s="1">
        <v>-0.275546811</v>
      </c>
      <c r="K9" s="12">
        <v>-0.38563486699999999</v>
      </c>
      <c r="L9" s="1">
        <v>-0.33910786199999998</v>
      </c>
      <c r="N9" s="1">
        <f t="shared" si="0"/>
        <v>4.652700500000001E-2</v>
      </c>
      <c r="P9" s="1">
        <f t="shared" si="1"/>
        <v>-6.356105099999998E-2</v>
      </c>
      <c r="R9" s="6">
        <f t="shared" si="2"/>
        <v>-0.11008805599999999</v>
      </c>
      <c r="U9" s="1">
        <f t="shared" si="3"/>
        <v>120.97021300000003</v>
      </c>
      <c r="W9" s="1">
        <f t="shared" si="4"/>
        <v>1.2562291350000003</v>
      </c>
    </row>
    <row r="10" spans="1:23" s="1" customFormat="1" x14ac:dyDescent="0.3">
      <c r="A10"/>
      <c r="B10">
        <v>9</v>
      </c>
      <c r="C10" s="1">
        <v>-0.34171033499999998</v>
      </c>
      <c r="D10" s="11"/>
      <c r="E10" s="12">
        <v>-0.43021229999999999</v>
      </c>
      <c r="F10" s="3" t="s">
        <v>8</v>
      </c>
      <c r="G10" s="3">
        <v>-0.15073273400000001</v>
      </c>
      <c r="I10" s="1" t="s">
        <v>31</v>
      </c>
      <c r="J10" s="1">
        <v>2.6586028500000001E-2</v>
      </c>
      <c r="K10" s="12">
        <v>5.0801363500000002E-2</v>
      </c>
      <c r="L10" s="1">
        <v>5.8138645799999999E-2</v>
      </c>
      <c r="N10" s="1">
        <f t="shared" si="0"/>
        <v>7.3372822999999976E-3</v>
      </c>
      <c r="P10" s="1">
        <f t="shared" si="1"/>
        <v>3.1552617300000002E-2</v>
      </c>
      <c r="R10" s="1">
        <f t="shared" si="2"/>
        <v>2.4215335000000001E-2</v>
      </c>
      <c r="U10" s="1">
        <f t="shared" si="3"/>
        <v>19.076933979999993</v>
      </c>
      <c r="W10" s="1">
        <f t="shared" si="4"/>
        <v>0.19810662209999993</v>
      </c>
    </row>
    <row r="11" spans="1:23" s="1" customFormat="1" x14ac:dyDescent="0.3">
      <c r="A11"/>
      <c r="B11">
        <v>10</v>
      </c>
      <c r="C11" s="1">
        <v>-0.12634526700000001</v>
      </c>
      <c r="D11" s="11"/>
      <c r="E11" s="12">
        <v>-0.53526249199999998</v>
      </c>
      <c r="G11" s="1">
        <v>-0.170798745</v>
      </c>
      <c r="I11" s="1" t="s">
        <v>32</v>
      </c>
      <c r="J11" s="1">
        <v>5.4903874900000003E-2</v>
      </c>
      <c r="K11" s="12">
        <v>8.0875699300000006E-2</v>
      </c>
      <c r="L11" s="1">
        <v>0.10415661</v>
      </c>
      <c r="N11" s="1">
        <f t="shared" si="0"/>
        <v>2.328091069999999E-2</v>
      </c>
      <c r="P11" s="1">
        <f t="shared" si="1"/>
        <v>4.9252735099999993E-2</v>
      </c>
      <c r="R11" s="1">
        <f t="shared" si="2"/>
        <v>2.5971824400000003E-2</v>
      </c>
      <c r="U11" s="1">
        <f t="shared" si="3"/>
        <v>60.530367819999974</v>
      </c>
      <c r="W11" s="1">
        <f t="shared" si="4"/>
        <v>0.62858458889999969</v>
      </c>
    </row>
    <row r="12" spans="1:23" s="1" customFormat="1" x14ac:dyDescent="0.3">
      <c r="A12"/>
      <c r="B12">
        <v>11</v>
      </c>
      <c r="C12" s="1">
        <v>-0.53993543200000005</v>
      </c>
      <c r="D12" s="11"/>
      <c r="E12" s="12">
        <v>-0.145435642</v>
      </c>
      <c r="G12" s="1">
        <v>0.157656713</v>
      </c>
      <c r="I12" s="1" t="s">
        <v>20</v>
      </c>
      <c r="J12" s="1">
        <v>-0.170798745</v>
      </c>
      <c r="K12" s="12">
        <v>-0.22297377600000001</v>
      </c>
      <c r="L12" s="1">
        <v>-0.291235095</v>
      </c>
      <c r="N12" s="1">
        <f t="shared" si="0"/>
        <v>-6.8261318999999987E-2</v>
      </c>
      <c r="P12" s="6">
        <f t="shared" si="1"/>
        <v>-0.12043635</v>
      </c>
      <c r="R12" s="1">
        <f t="shared" si="2"/>
        <v>-5.2175031000000011E-2</v>
      </c>
      <c r="U12" s="1">
        <f t="shared" si="3"/>
        <v>-177.47942939999996</v>
      </c>
      <c r="W12" s="1">
        <f t="shared" si="4"/>
        <v>-1.8430556129999998</v>
      </c>
    </row>
    <row r="13" spans="1:23" s="1" customFormat="1" x14ac:dyDescent="0.3">
      <c r="A13"/>
      <c r="B13">
        <v>12</v>
      </c>
      <c r="C13" s="1">
        <v>-0.155597929</v>
      </c>
      <c r="D13" s="11"/>
      <c r="E13" s="12">
        <v>-7.2189278400000001E-2</v>
      </c>
      <c r="F13" s="3" t="s">
        <v>10</v>
      </c>
      <c r="G13" s="3">
        <v>-9.9861153499999994E-2</v>
      </c>
      <c r="I13" s="1" t="s">
        <v>35</v>
      </c>
      <c r="J13" s="1">
        <v>0.19218174499999999</v>
      </c>
      <c r="K13" s="12">
        <v>0.19362299399999999</v>
      </c>
      <c r="L13" s="1">
        <v>0.195135488</v>
      </c>
      <c r="N13" s="1">
        <f t="shared" si="0"/>
        <v>1.5124940000000031E-3</v>
      </c>
      <c r="P13" s="1">
        <f t="shared" si="1"/>
        <v>2.9537430000000087E-3</v>
      </c>
      <c r="R13" s="1">
        <f t="shared" si="2"/>
        <v>1.4412490000000056E-3</v>
      </c>
      <c r="U13" s="1">
        <f t="shared" si="3"/>
        <v>3.9324844000000079</v>
      </c>
      <c r="W13" s="1">
        <f t="shared" si="4"/>
        <v>4.0837338000000084E-2</v>
      </c>
    </row>
    <row r="14" spans="1:23" s="1" customFormat="1" x14ac:dyDescent="0.3">
      <c r="A14"/>
      <c r="B14">
        <v>13</v>
      </c>
      <c r="C14" s="1">
        <v>0.14285730399999999</v>
      </c>
      <c r="D14" s="11"/>
      <c r="E14" s="12">
        <v>0.12444794100000001</v>
      </c>
      <c r="G14" s="1">
        <v>0.1545552</v>
      </c>
      <c r="I14" s="1" t="s">
        <v>33</v>
      </c>
      <c r="J14" s="1">
        <v>-0.24529441900000001</v>
      </c>
      <c r="K14" s="12">
        <v>-0.19800274300000001</v>
      </c>
      <c r="L14" s="1">
        <v>-0.20682708899999999</v>
      </c>
      <c r="N14" s="1">
        <f t="shared" si="0"/>
        <v>-8.8243459999999829E-3</v>
      </c>
      <c r="P14" s="1">
        <f t="shared" si="1"/>
        <v>3.8467330000000022E-2</v>
      </c>
      <c r="R14" s="1">
        <f t="shared" si="2"/>
        <v>4.7291676000000005E-2</v>
      </c>
      <c r="U14" s="1">
        <f t="shared" si="3"/>
        <v>-22.943299599999957</v>
      </c>
      <c r="W14" s="1">
        <f t="shared" si="4"/>
        <v>-0.23825734199999954</v>
      </c>
    </row>
    <row r="15" spans="1:23" s="1" customFormat="1" x14ac:dyDescent="0.3">
      <c r="A15"/>
      <c r="B15">
        <v>14</v>
      </c>
      <c r="C15" s="1">
        <v>-0.56270357699999995</v>
      </c>
      <c r="D15" s="11"/>
      <c r="E15" s="12">
        <v>-0.41667251100000002</v>
      </c>
      <c r="G15" s="1">
        <v>0.166649881</v>
      </c>
      <c r="I15" s="1" t="s">
        <v>34</v>
      </c>
      <c r="J15" s="1">
        <v>0.25402095499999999</v>
      </c>
      <c r="K15" s="12">
        <v>0.24757130199999999</v>
      </c>
      <c r="L15" s="1">
        <v>0.25050809800000001</v>
      </c>
      <c r="N15" s="1">
        <f t="shared" si="0"/>
        <v>2.9367960000000193E-3</v>
      </c>
      <c r="P15" s="1">
        <f t="shared" si="1"/>
        <v>-3.5128569999999804E-3</v>
      </c>
      <c r="R15" s="1">
        <f t="shared" si="2"/>
        <v>-6.4496529999999996E-3</v>
      </c>
      <c r="U15" s="1">
        <f t="shared" si="3"/>
        <v>7.6356696000000497</v>
      </c>
      <c r="W15" s="1">
        <f t="shared" si="4"/>
        <v>7.9293492000000521E-2</v>
      </c>
    </row>
    <row r="16" spans="1:23" s="1" customFormat="1" x14ac:dyDescent="0.3">
      <c r="A16"/>
      <c r="B16">
        <v>15</v>
      </c>
      <c r="C16" s="1">
        <v>-6.3950699200000002E-2</v>
      </c>
      <c r="D16" s="11"/>
      <c r="E16" s="12">
        <v>-4.7181922100000002E-2</v>
      </c>
      <c r="G16" s="1">
        <v>0.22605772399999999</v>
      </c>
      <c r="I16" s="1" t="s">
        <v>36</v>
      </c>
      <c r="J16" s="1">
        <v>-9.3339327900000005E-2</v>
      </c>
      <c r="K16" s="12">
        <v>-0.44990539899999998</v>
      </c>
      <c r="L16" s="1">
        <v>-0.31868425099999997</v>
      </c>
      <c r="N16" s="6">
        <f t="shared" si="0"/>
        <v>0.13122114800000001</v>
      </c>
      <c r="P16" s="6">
        <f t="shared" si="1"/>
        <v>-0.22534492309999998</v>
      </c>
      <c r="R16" s="6">
        <f t="shared" si="2"/>
        <v>-0.35656607109999999</v>
      </c>
      <c r="U16" s="1">
        <f t="shared" si="3"/>
        <v>341.1749848</v>
      </c>
      <c r="W16" s="1">
        <f t="shared" si="4"/>
        <v>3.5429709960000002</v>
      </c>
    </row>
    <row r="17" spans="1:23" s="1" customFormat="1" x14ac:dyDescent="0.3">
      <c r="A17"/>
      <c r="B17">
        <v>16</v>
      </c>
      <c r="C17" s="1">
        <v>0.18472772500000001</v>
      </c>
      <c r="D17" s="11"/>
      <c r="E17" s="12">
        <v>-0.29955723899999998</v>
      </c>
      <c r="G17" s="1">
        <v>0.161832849</v>
      </c>
      <c r="I17" s="1" t="s">
        <v>37</v>
      </c>
      <c r="J17" s="1">
        <v>0.157656713</v>
      </c>
      <c r="K17" s="12">
        <v>0.19472551799999999</v>
      </c>
      <c r="L17" s="1">
        <v>0.19621434200000001</v>
      </c>
      <c r="N17" s="1">
        <f t="shared" si="0"/>
        <v>1.4888240000000275E-3</v>
      </c>
      <c r="P17" s="1">
        <f t="shared" si="1"/>
        <v>3.855762900000001E-2</v>
      </c>
      <c r="R17" s="1">
        <f t="shared" si="2"/>
        <v>3.7068804999999982E-2</v>
      </c>
      <c r="U17" s="1">
        <f t="shared" si="3"/>
        <v>3.8709424000000716</v>
      </c>
      <c r="W17" s="1">
        <f t="shared" si="4"/>
        <v>4.0198248000000741E-2</v>
      </c>
    </row>
    <row r="18" spans="1:23" s="1" customFormat="1" x14ac:dyDescent="0.3">
      <c r="A18"/>
      <c r="B18">
        <v>17</v>
      </c>
      <c r="C18" s="1">
        <v>-0.25909038899999998</v>
      </c>
      <c r="D18" s="11"/>
      <c r="E18" s="12">
        <v>0.28292563199999998</v>
      </c>
      <c r="F18" s="3" t="s">
        <v>12</v>
      </c>
      <c r="G18" s="3">
        <v>-0.21759994399999999</v>
      </c>
      <c r="I18" s="1" t="s">
        <v>38</v>
      </c>
      <c r="J18" s="3">
        <v>-9.9861153499999994E-2</v>
      </c>
      <c r="K18" s="14">
        <v>-0.116193612</v>
      </c>
      <c r="L18" s="3">
        <v>-7.3503750600000001E-2</v>
      </c>
      <c r="N18" s="1">
        <f t="shared" si="0"/>
        <v>4.2689861400000001E-2</v>
      </c>
      <c r="P18" s="1">
        <f t="shared" si="1"/>
        <v>2.6357402899999993E-2</v>
      </c>
      <c r="R18" s="1">
        <f t="shared" si="2"/>
        <v>-1.6332458500000008E-2</v>
      </c>
      <c r="U18" s="1">
        <f t="shared" si="3"/>
        <v>110.99363964</v>
      </c>
      <c r="W18" s="1">
        <f t="shared" si="4"/>
        <v>1.1526262577999999</v>
      </c>
    </row>
    <row r="19" spans="1:23" s="1" customFormat="1" x14ac:dyDescent="0.3">
      <c r="A19"/>
      <c r="B19">
        <v>18</v>
      </c>
      <c r="C19" s="1">
        <v>0.20547047299999999</v>
      </c>
      <c r="D19" s="11"/>
      <c r="E19" s="12">
        <v>-0.38563486699999999</v>
      </c>
      <c r="G19" s="1">
        <v>0.19218174499999999</v>
      </c>
      <c r="I19" s="1" t="s">
        <v>40</v>
      </c>
      <c r="J19" s="1">
        <v>-0.29707573399999998</v>
      </c>
      <c r="K19" s="12">
        <v>0.140549335</v>
      </c>
      <c r="L19" s="1">
        <v>3.4583245499999998E-2</v>
      </c>
      <c r="N19" s="6">
        <f t="shared" si="0"/>
        <v>-0.1059660895</v>
      </c>
      <c r="P19" s="6">
        <f t="shared" si="1"/>
        <v>0.33165897950000001</v>
      </c>
      <c r="R19" s="6">
        <f t="shared" si="2"/>
        <v>0.43762506899999998</v>
      </c>
      <c r="U19" s="1">
        <f t="shared" si="3"/>
        <v>-275.51183270000001</v>
      </c>
      <c r="W19" s="1">
        <f t="shared" si="4"/>
        <v>-2.8610844164999998</v>
      </c>
    </row>
    <row r="20" spans="1:23" s="1" customFormat="1" x14ac:dyDescent="0.3">
      <c r="A20"/>
      <c r="B20">
        <v>19</v>
      </c>
      <c r="C20" s="1">
        <v>-0.33910786199999998</v>
      </c>
      <c r="D20" s="11"/>
      <c r="E20" s="12">
        <v>5.0801363500000002E-2</v>
      </c>
      <c r="G20" s="1">
        <v>-0.24529441900000001</v>
      </c>
      <c r="I20" s="1" t="s">
        <v>41</v>
      </c>
      <c r="J20" s="1">
        <v>0.178963553</v>
      </c>
      <c r="K20" s="12">
        <v>0.16437617400000001</v>
      </c>
      <c r="L20" s="1">
        <v>0.16806212600000001</v>
      </c>
      <c r="N20" s="1">
        <f t="shared" si="0"/>
        <v>3.6859519999999923E-3</v>
      </c>
      <c r="P20" s="1">
        <f t="shared" si="1"/>
        <v>-1.0901426999999991E-2</v>
      </c>
      <c r="R20" s="1">
        <f t="shared" si="2"/>
        <v>-1.4587378999999984E-2</v>
      </c>
      <c r="U20" s="1">
        <f t="shared" si="3"/>
        <v>9.583475199999981</v>
      </c>
      <c r="W20" s="1">
        <f t="shared" si="4"/>
        <v>9.9520703999999793E-2</v>
      </c>
    </row>
    <row r="21" spans="1:23" s="1" customFormat="1" x14ac:dyDescent="0.3">
      <c r="A21"/>
      <c r="B21">
        <v>20</v>
      </c>
      <c r="C21" s="1">
        <v>5.8138645799999999E-2</v>
      </c>
      <c r="D21" s="11"/>
      <c r="E21" s="12">
        <v>8.0875699300000006E-2</v>
      </c>
      <c r="F21" s="3" t="s">
        <v>13</v>
      </c>
      <c r="G21" s="3">
        <v>-0.21678651500000001</v>
      </c>
      <c r="I21" s="1" t="s">
        <v>19</v>
      </c>
      <c r="J21" s="1">
        <v>-0.23716135999999999</v>
      </c>
      <c r="K21" s="12">
        <v>-0.43021229999999999</v>
      </c>
      <c r="L21" s="1">
        <v>-0.34171033499999998</v>
      </c>
      <c r="N21" s="1">
        <f t="shared" si="0"/>
        <v>8.8501965000000016E-2</v>
      </c>
      <c r="P21" s="6">
        <f t="shared" si="1"/>
        <v>-0.10454897499999999</v>
      </c>
      <c r="R21" s="6">
        <f t="shared" si="2"/>
        <v>-0.19305094</v>
      </c>
      <c r="U21" s="1">
        <f t="shared" si="3"/>
        <v>230.10510900000003</v>
      </c>
      <c r="W21" s="1">
        <f t="shared" si="4"/>
        <v>2.3895530550000004</v>
      </c>
    </row>
    <row r="22" spans="1:23" s="1" customFormat="1" x14ac:dyDescent="0.3">
      <c r="A22"/>
      <c r="B22">
        <v>21</v>
      </c>
      <c r="C22" s="1">
        <v>0.10415661</v>
      </c>
      <c r="D22" s="11"/>
      <c r="E22" s="12">
        <v>-0.19800274300000001</v>
      </c>
      <c r="G22" s="1">
        <v>-0.275546811</v>
      </c>
      <c r="I22" s="1" t="s">
        <v>42</v>
      </c>
      <c r="J22" s="1">
        <v>0.1545552</v>
      </c>
      <c r="K22" s="12">
        <v>0.16627735599999999</v>
      </c>
      <c r="L22" s="1">
        <v>0.175154583</v>
      </c>
      <c r="N22" s="1">
        <f t="shared" si="0"/>
        <v>8.8772270000000153E-3</v>
      </c>
      <c r="P22" s="1">
        <f t="shared" si="1"/>
        <v>2.0599382999999999E-2</v>
      </c>
      <c r="R22" s="1">
        <f t="shared" si="2"/>
        <v>1.1722155999999984E-2</v>
      </c>
      <c r="U22" s="1">
        <f t="shared" si="3"/>
        <v>23.080790200000038</v>
      </c>
      <c r="W22" s="1">
        <f t="shared" si="4"/>
        <v>0.23968512900000041</v>
      </c>
    </row>
    <row r="23" spans="1:23" s="1" customFormat="1" x14ac:dyDescent="0.3">
      <c r="A23"/>
      <c r="B23">
        <v>22</v>
      </c>
      <c r="C23" s="1">
        <v>-0.20682708899999999</v>
      </c>
      <c r="D23" s="11"/>
      <c r="E23" s="12">
        <v>-0.25866224599999998</v>
      </c>
      <c r="F23" s="3" t="s">
        <v>9</v>
      </c>
      <c r="G23" s="3">
        <v>0.166247752</v>
      </c>
      <c r="I23" s="1" t="s">
        <v>43</v>
      </c>
      <c r="J23" s="1">
        <v>0.166649881</v>
      </c>
      <c r="K23" s="12">
        <v>0.163145818</v>
      </c>
      <c r="L23" s="1">
        <v>0.160563765</v>
      </c>
      <c r="N23" s="1">
        <f t="shared" si="0"/>
        <v>-2.5820530000000008E-3</v>
      </c>
      <c r="P23" s="1">
        <f t="shared" si="1"/>
        <v>-6.0861160000000025E-3</v>
      </c>
      <c r="R23" s="1">
        <f t="shared" si="2"/>
        <v>-3.5040630000000017E-3</v>
      </c>
      <c r="U23" s="1">
        <f t="shared" si="3"/>
        <v>-6.7133378000000024</v>
      </c>
      <c r="W23" s="1">
        <f t="shared" si="4"/>
        <v>-6.9715431000000022E-2</v>
      </c>
    </row>
    <row r="24" spans="1:23" s="1" customFormat="1" x14ac:dyDescent="0.3">
      <c r="A24"/>
      <c r="B24">
        <v>23</v>
      </c>
      <c r="C24" s="1">
        <v>-0.25689303099999999</v>
      </c>
      <c r="D24" s="11"/>
      <c r="E24" s="12">
        <v>-0.23148723399999999</v>
      </c>
      <c r="F24" s="3" t="s">
        <v>9</v>
      </c>
      <c r="G24" s="3">
        <v>0.15260230699999999</v>
      </c>
      <c r="I24" s="1" t="s">
        <v>44</v>
      </c>
      <c r="J24" s="1">
        <v>-0.306314541</v>
      </c>
      <c r="K24" s="12">
        <v>-0.25866224599999998</v>
      </c>
      <c r="L24" s="1">
        <v>-0.25689303099999999</v>
      </c>
      <c r="N24" s="1">
        <f t="shared" si="0"/>
        <v>1.7692149999999907E-3</v>
      </c>
      <c r="P24" s="1">
        <f t="shared" si="1"/>
        <v>4.9421510000000002E-2</v>
      </c>
      <c r="R24" s="1">
        <f t="shared" si="2"/>
        <v>4.7652295000000011E-2</v>
      </c>
      <c r="U24" s="1">
        <f t="shared" si="3"/>
        <v>4.5999589999999753</v>
      </c>
      <c r="W24" s="1">
        <f t="shared" si="4"/>
        <v>4.7768804999999748E-2</v>
      </c>
    </row>
    <row r="25" spans="1:23" s="1" customFormat="1" x14ac:dyDescent="0.3">
      <c r="A25"/>
      <c r="B25">
        <v>24</v>
      </c>
      <c r="C25" s="1">
        <v>-0.20011119899999999</v>
      </c>
      <c r="D25" s="11"/>
      <c r="E25" s="12">
        <v>-0.21891544700000001</v>
      </c>
      <c r="F25" s="3" t="s">
        <v>9</v>
      </c>
      <c r="G25" s="3">
        <v>0.13464004800000001</v>
      </c>
      <c r="I25" s="1" t="s">
        <v>45</v>
      </c>
      <c r="J25" s="1">
        <v>0.24561913299999999</v>
      </c>
      <c r="K25" s="12">
        <v>0.26000763900000001</v>
      </c>
      <c r="L25" s="1">
        <v>0.25451299500000002</v>
      </c>
      <c r="N25" s="1">
        <f t="shared" si="0"/>
        <v>-5.494643999999993E-3</v>
      </c>
      <c r="P25" s="1">
        <f t="shared" si="1"/>
        <v>8.8938620000000301E-3</v>
      </c>
      <c r="R25" s="1">
        <f t="shared" si="2"/>
        <v>1.4388506000000023E-2</v>
      </c>
      <c r="U25" s="1">
        <f t="shared" si="3"/>
        <v>-14.286074399999983</v>
      </c>
      <c r="W25" s="1">
        <f t="shared" si="4"/>
        <v>-0.14835538799999981</v>
      </c>
    </row>
    <row r="26" spans="1:23" s="1" customFormat="1" x14ac:dyDescent="0.3">
      <c r="A26"/>
      <c r="B26">
        <v>25</v>
      </c>
      <c r="C26" s="1">
        <v>-0.162609382</v>
      </c>
      <c r="D26" s="11"/>
      <c r="E26" s="12">
        <v>-0.25174112599999998</v>
      </c>
      <c r="G26" s="1">
        <v>0.25402095499999999</v>
      </c>
    </row>
    <row r="27" spans="1:23" s="1" customFormat="1" x14ac:dyDescent="0.3">
      <c r="A27"/>
      <c r="B27">
        <v>26</v>
      </c>
      <c r="C27" s="1">
        <v>-0.22695386000000001</v>
      </c>
      <c r="D27" s="11"/>
      <c r="E27" s="12">
        <v>0.13965396799999999</v>
      </c>
      <c r="F27" s="3" t="s">
        <v>11</v>
      </c>
      <c r="G27" s="3">
        <v>0.12409192300000001</v>
      </c>
    </row>
    <row r="28" spans="1:23" s="1" customFormat="1" x14ac:dyDescent="0.3">
      <c r="A28"/>
      <c r="B28">
        <v>27</v>
      </c>
      <c r="C28" s="1">
        <v>0.13970347899999999</v>
      </c>
      <c r="D28" s="11"/>
      <c r="E28" s="12">
        <v>0.23653974</v>
      </c>
      <c r="F28" s="3" t="s">
        <v>11</v>
      </c>
      <c r="G28" s="3">
        <v>0.147215442</v>
      </c>
    </row>
    <row r="29" spans="1:23" s="1" customFormat="1" x14ac:dyDescent="0.3">
      <c r="A29"/>
      <c r="B29">
        <v>28</v>
      </c>
      <c r="C29" s="1">
        <v>0.242920894</v>
      </c>
      <c r="D29" s="11"/>
      <c r="E29" s="12">
        <v>0.19362299399999999</v>
      </c>
      <c r="F29" s="3" t="s">
        <v>11</v>
      </c>
      <c r="G29" s="3">
        <v>0.16437202200000001</v>
      </c>
    </row>
    <row r="30" spans="1:23" s="1" customFormat="1" x14ac:dyDescent="0.3">
      <c r="A30"/>
      <c r="B30">
        <v>29</v>
      </c>
      <c r="C30" s="1">
        <v>0.195135488</v>
      </c>
      <c r="D30" s="11"/>
      <c r="E30" s="12">
        <v>0.19472551799999999</v>
      </c>
      <c r="G30" s="1">
        <v>5.4903874900000003E-2</v>
      </c>
    </row>
    <row r="31" spans="1:23" s="1" customFormat="1" x14ac:dyDescent="0.3">
      <c r="A31"/>
      <c r="B31">
        <v>30</v>
      </c>
      <c r="C31" s="1">
        <v>0.19621434200000001</v>
      </c>
      <c r="D31" s="11"/>
      <c r="E31" s="12">
        <v>0.16437617400000001</v>
      </c>
      <c r="G31" s="1">
        <v>2.6586028500000001E-2</v>
      </c>
    </row>
    <row r="32" spans="1:23" s="1" customFormat="1" x14ac:dyDescent="0.3">
      <c r="A32"/>
      <c r="B32">
        <v>31</v>
      </c>
      <c r="C32" s="1">
        <v>0.16806212600000001</v>
      </c>
      <c r="D32" s="11"/>
      <c r="E32" s="12">
        <v>0.16627735599999999</v>
      </c>
      <c r="G32" s="1">
        <v>-0.306314541</v>
      </c>
    </row>
    <row r="33" spans="1:7" s="1" customFormat="1" x14ac:dyDescent="0.3">
      <c r="A33"/>
      <c r="B33">
        <v>32</v>
      </c>
      <c r="C33" s="1">
        <v>0.175154583</v>
      </c>
      <c r="D33" s="11"/>
      <c r="E33" s="12">
        <v>0.163145818</v>
      </c>
      <c r="G33" s="1">
        <v>0.24561913299999999</v>
      </c>
    </row>
    <row r="34" spans="1:7" s="1" customFormat="1" x14ac:dyDescent="0.3">
      <c r="A34"/>
      <c r="B34">
        <v>33</v>
      </c>
      <c r="C34" s="1">
        <v>0.160563765</v>
      </c>
      <c r="D34" s="11"/>
      <c r="E34" s="12">
        <v>0.18335869399999999</v>
      </c>
    </row>
    <row r="35" spans="1:7" s="1" customFormat="1" x14ac:dyDescent="0.3">
      <c r="A35"/>
      <c r="B35">
        <v>34</v>
      </c>
      <c r="C35" s="1">
        <v>0.20435035100000001</v>
      </c>
      <c r="D35" s="11"/>
      <c r="E35" s="12">
        <v>0.17853923399999999</v>
      </c>
    </row>
    <row r="36" spans="1:7" s="1" customFormat="1" x14ac:dyDescent="0.3">
      <c r="A36"/>
      <c r="B36">
        <v>35</v>
      </c>
      <c r="C36" s="1">
        <v>0.202960156</v>
      </c>
      <c r="D36" s="11"/>
      <c r="E36" s="12">
        <v>0.192258345</v>
      </c>
    </row>
    <row r="37" spans="1:7" s="1" customFormat="1" x14ac:dyDescent="0.3">
      <c r="A37"/>
      <c r="B37">
        <v>36</v>
      </c>
      <c r="C37" s="1">
        <v>0.201815306</v>
      </c>
      <c r="D37" s="11"/>
      <c r="E37" s="12">
        <v>0.16583831199999999</v>
      </c>
    </row>
    <row r="38" spans="1:7" s="1" customFormat="1" x14ac:dyDescent="0.3">
      <c r="A38"/>
      <c r="B38">
        <v>37</v>
      </c>
      <c r="C38" s="1">
        <v>0.16454465500000001</v>
      </c>
      <c r="D38" s="11"/>
      <c r="E38" s="12">
        <v>0.17705109999999999</v>
      </c>
    </row>
    <row r="39" spans="1:7" s="1" customFormat="1" x14ac:dyDescent="0.3">
      <c r="A39"/>
      <c r="B39">
        <v>38</v>
      </c>
      <c r="C39" s="1">
        <v>0.18268837800000001</v>
      </c>
      <c r="D39" s="11"/>
      <c r="E39" s="12">
        <v>0.17412111</v>
      </c>
    </row>
    <row r="40" spans="1:7" s="1" customFormat="1" x14ac:dyDescent="0.3">
      <c r="A40"/>
      <c r="B40">
        <v>39</v>
      </c>
      <c r="C40" s="1">
        <v>0.19159214499999999</v>
      </c>
      <c r="D40" s="11"/>
      <c r="E40" s="12">
        <v>0.15908138599999999</v>
      </c>
    </row>
    <row r="41" spans="1:7" s="1" customFormat="1" x14ac:dyDescent="0.3">
      <c r="A41"/>
      <c r="B41">
        <v>40</v>
      </c>
      <c r="C41" s="1">
        <v>0.16044333599999999</v>
      </c>
      <c r="D41" s="13" t="s">
        <v>13</v>
      </c>
      <c r="E41" s="14">
        <v>-0.23053628300000001</v>
      </c>
    </row>
    <row r="42" spans="1:7" s="1" customFormat="1" x14ac:dyDescent="0.3">
      <c r="A42" s="5" t="s">
        <v>13</v>
      </c>
      <c r="B42" s="5">
        <v>41</v>
      </c>
      <c r="C42" s="3">
        <v>-0.224797475</v>
      </c>
      <c r="D42" s="13" t="s">
        <v>11</v>
      </c>
      <c r="E42" s="14">
        <v>0.143911285</v>
      </c>
    </row>
    <row r="43" spans="1:7" s="1" customFormat="1" x14ac:dyDescent="0.3">
      <c r="A43" s="5" t="s">
        <v>11</v>
      </c>
      <c r="B43" s="5">
        <v>42</v>
      </c>
      <c r="C43" s="3">
        <v>0.16000292299999999</v>
      </c>
      <c r="D43" s="13" t="s">
        <v>11</v>
      </c>
      <c r="E43" s="14">
        <v>0.15625208600000001</v>
      </c>
    </row>
    <row r="44" spans="1:7" s="1" customFormat="1" x14ac:dyDescent="0.3">
      <c r="A44" s="5" t="s">
        <v>11</v>
      </c>
      <c r="B44" s="5">
        <v>43</v>
      </c>
      <c r="C44" s="3">
        <v>0.14006922399999999</v>
      </c>
      <c r="D44" s="13" t="s">
        <v>11</v>
      </c>
      <c r="E44" s="14">
        <v>0.14995598600000001</v>
      </c>
    </row>
    <row r="45" spans="1:7" s="1" customFormat="1" x14ac:dyDescent="0.3">
      <c r="A45" s="5" t="s">
        <v>11</v>
      </c>
      <c r="B45" s="5">
        <v>44</v>
      </c>
      <c r="C45" s="3">
        <v>0.144941282</v>
      </c>
      <c r="D45" s="11"/>
      <c r="E45" s="12">
        <v>0.24757130199999999</v>
      </c>
    </row>
    <row r="46" spans="1:7" s="1" customFormat="1" x14ac:dyDescent="0.3">
      <c r="A46"/>
      <c r="B46">
        <v>45</v>
      </c>
      <c r="C46" s="1">
        <v>0.25050809800000001</v>
      </c>
      <c r="D46" s="11"/>
      <c r="E46" s="12">
        <v>0.24751794399999999</v>
      </c>
    </row>
    <row r="47" spans="1:7" s="1" customFormat="1" x14ac:dyDescent="0.3">
      <c r="A47"/>
      <c r="B47">
        <v>46</v>
      </c>
      <c r="C47" s="1">
        <v>0.24128503300000001</v>
      </c>
      <c r="D47" s="11"/>
      <c r="E47" s="12">
        <v>0.256677816</v>
      </c>
    </row>
    <row r="48" spans="1:7" s="1" customFormat="1" x14ac:dyDescent="0.3">
      <c r="A48"/>
      <c r="B48">
        <v>47</v>
      </c>
      <c r="C48" s="1">
        <v>0.25443328599999998</v>
      </c>
      <c r="D48" s="11"/>
      <c r="E48" s="12">
        <v>0.26000763900000001</v>
      </c>
    </row>
    <row r="49" spans="1:5" s="1" customFormat="1" x14ac:dyDescent="0.3">
      <c r="A49"/>
      <c r="B49">
        <v>48</v>
      </c>
      <c r="C49" s="1">
        <v>0.25451299500000002</v>
      </c>
      <c r="D49" s="11"/>
      <c r="E49" s="12">
        <v>0.25514181200000002</v>
      </c>
    </row>
    <row r="50" spans="1:5" s="1" customFormat="1" x14ac:dyDescent="0.3">
      <c r="A50"/>
      <c r="B50">
        <v>49</v>
      </c>
      <c r="C50" s="1">
        <v>0.275416247</v>
      </c>
      <c r="D50" s="13" t="s">
        <v>12</v>
      </c>
      <c r="E50" s="14">
        <v>-0.204439755</v>
      </c>
    </row>
    <row r="51" spans="1:5" s="1" customFormat="1" x14ac:dyDescent="0.3">
      <c r="A51"/>
      <c r="B51">
        <v>50</v>
      </c>
      <c r="C51" s="1">
        <v>-0.35703726099999999</v>
      </c>
      <c r="D51" s="13" t="s">
        <v>9</v>
      </c>
      <c r="E51" s="14">
        <v>0.159252962</v>
      </c>
    </row>
    <row r="52" spans="1:5" s="1" customFormat="1" x14ac:dyDescent="0.3">
      <c r="A52"/>
      <c r="B52">
        <v>51</v>
      </c>
      <c r="C52" s="1">
        <v>-0.390573053</v>
      </c>
      <c r="D52" s="13" t="s">
        <v>9</v>
      </c>
      <c r="E52" s="14">
        <v>0.13178062600000001</v>
      </c>
    </row>
    <row r="53" spans="1:5" s="1" customFormat="1" x14ac:dyDescent="0.3">
      <c r="A53"/>
      <c r="B53">
        <v>52</v>
      </c>
      <c r="C53" s="1">
        <v>-0.388805224</v>
      </c>
      <c r="D53" s="13" t="s">
        <v>9</v>
      </c>
      <c r="E53" s="14">
        <v>0.17085028299999999</v>
      </c>
    </row>
    <row r="54" spans="1:5" s="1" customFormat="1" x14ac:dyDescent="0.3">
      <c r="A54"/>
      <c r="B54">
        <v>53</v>
      </c>
      <c r="C54" s="1">
        <v>-0.10406143599999999</v>
      </c>
      <c r="D54" s="13" t="s">
        <v>8</v>
      </c>
      <c r="E54" s="14">
        <v>-0.12451931500000001</v>
      </c>
    </row>
    <row r="55" spans="1:5" s="1" customFormat="1" x14ac:dyDescent="0.3">
      <c r="A55"/>
      <c r="B55">
        <v>54</v>
      </c>
      <c r="C55" s="1">
        <v>-0.52960619799999997</v>
      </c>
      <c r="D55" s="11"/>
      <c r="E55" s="12"/>
    </row>
    <row r="56" spans="1:5" s="1" customFormat="1" x14ac:dyDescent="0.3">
      <c r="A56"/>
      <c r="B56">
        <v>55</v>
      </c>
      <c r="C56" s="1">
        <v>-1.00485422E-2</v>
      </c>
      <c r="D56" s="11"/>
      <c r="E56" s="12"/>
    </row>
    <row r="57" spans="1:5" s="1" customFormat="1" x14ac:dyDescent="0.3">
      <c r="A57"/>
      <c r="B57">
        <v>56</v>
      </c>
      <c r="C57" s="1">
        <v>-0.21581897</v>
      </c>
      <c r="D57" s="11"/>
      <c r="E57" s="12"/>
    </row>
    <row r="58" spans="1:5" s="1" customFormat="1" x14ac:dyDescent="0.3">
      <c r="A58"/>
      <c r="B58">
        <v>57</v>
      </c>
      <c r="C58" s="1">
        <v>0.175722775</v>
      </c>
      <c r="D58" s="11"/>
      <c r="E58" s="12"/>
    </row>
    <row r="59" spans="1:5" s="1" customFormat="1" x14ac:dyDescent="0.3">
      <c r="A59"/>
      <c r="B59">
        <v>58</v>
      </c>
      <c r="C59" s="1">
        <v>-0.30145625399999998</v>
      </c>
      <c r="D59" s="11"/>
      <c r="E59" s="12"/>
    </row>
    <row r="60" spans="1:5" s="1" customFormat="1" x14ac:dyDescent="0.3">
      <c r="A60"/>
      <c r="B60">
        <v>59</v>
      </c>
      <c r="C60" s="1">
        <v>3.9109023399999998E-2</v>
      </c>
      <c r="D60" s="11"/>
      <c r="E60" s="12"/>
    </row>
    <row r="61" spans="1:5" s="1" customFormat="1" x14ac:dyDescent="0.3">
      <c r="A61"/>
      <c r="B61">
        <v>60</v>
      </c>
      <c r="C61" s="1">
        <v>6.0616071399999999E-2</v>
      </c>
      <c r="D61" s="11"/>
      <c r="E61" s="12"/>
    </row>
    <row r="62" spans="1:5" s="1" customFormat="1" x14ac:dyDescent="0.3">
      <c r="A62"/>
      <c r="B62">
        <v>61</v>
      </c>
      <c r="C62" s="1">
        <v>-0.16899403499999999</v>
      </c>
      <c r="D62" s="11"/>
      <c r="E62" s="12"/>
    </row>
    <row r="63" spans="1:5" s="1" customFormat="1" x14ac:dyDescent="0.3">
      <c r="A63"/>
      <c r="B63">
        <v>62</v>
      </c>
      <c r="C63" s="1">
        <v>-0.282161565</v>
      </c>
      <c r="D63" s="11"/>
      <c r="E63" s="12"/>
    </row>
    <row r="64" spans="1:5" s="1" customFormat="1" x14ac:dyDescent="0.3">
      <c r="A64"/>
      <c r="B64">
        <v>63</v>
      </c>
      <c r="C64" s="1">
        <v>0.17803630500000001</v>
      </c>
      <c r="D64" s="11"/>
      <c r="E64" s="12"/>
    </row>
    <row r="65" spans="1:5" s="1" customFormat="1" x14ac:dyDescent="0.3">
      <c r="A65"/>
      <c r="B65">
        <v>64</v>
      </c>
      <c r="C65" s="1">
        <v>0.25508130699999998</v>
      </c>
      <c r="D65" s="11"/>
      <c r="E65" s="12"/>
    </row>
    <row r="66" spans="1:5" s="1" customFormat="1" x14ac:dyDescent="0.3">
      <c r="A66"/>
      <c r="B66">
        <v>65</v>
      </c>
      <c r="C66" s="1">
        <v>0.20766288299999999</v>
      </c>
      <c r="D66" s="11"/>
      <c r="E66" s="12"/>
    </row>
    <row r="67" spans="1:5" s="1" customFormat="1" x14ac:dyDescent="0.3">
      <c r="A67"/>
      <c r="B67">
        <v>66</v>
      </c>
      <c r="C67" s="1">
        <v>0.24512383700000001</v>
      </c>
      <c r="D67" s="11"/>
      <c r="E67" s="12"/>
    </row>
    <row r="68" spans="1:5" s="1" customFormat="1" x14ac:dyDescent="0.3">
      <c r="A68"/>
      <c r="B68">
        <v>67</v>
      </c>
      <c r="C68" s="1">
        <v>0.19638650499999999</v>
      </c>
      <c r="D68" s="11"/>
      <c r="E68" s="12"/>
    </row>
    <row r="69" spans="1:5" s="1" customFormat="1" x14ac:dyDescent="0.3">
      <c r="A69"/>
      <c r="B69">
        <v>68</v>
      </c>
      <c r="C69" s="1">
        <v>0.172945771</v>
      </c>
      <c r="D69" s="11"/>
      <c r="E69" s="12"/>
    </row>
    <row r="70" spans="1:5" s="1" customFormat="1" x14ac:dyDescent="0.3">
      <c r="A70"/>
      <c r="B70">
        <v>69</v>
      </c>
      <c r="C70" s="1">
        <v>0.160677608</v>
      </c>
      <c r="D70" s="11"/>
      <c r="E70" s="12"/>
    </row>
    <row r="71" spans="1:5" s="1" customFormat="1" x14ac:dyDescent="0.3">
      <c r="A71"/>
      <c r="B71">
        <v>70</v>
      </c>
      <c r="C71" s="1">
        <v>0.25565525</v>
      </c>
      <c r="D71" s="11"/>
      <c r="E71" s="12"/>
    </row>
    <row r="72" spans="1:5" s="1" customFormat="1" x14ac:dyDescent="0.3">
      <c r="A72"/>
      <c r="B72">
        <v>71</v>
      </c>
      <c r="C72" s="1">
        <v>0.31906148899999998</v>
      </c>
      <c r="D72" s="11"/>
      <c r="E72" s="12"/>
    </row>
    <row r="73" spans="1:5" s="3" customFormat="1" x14ac:dyDescent="0.3">
      <c r="A73" s="5" t="s">
        <v>12</v>
      </c>
      <c r="B73" s="5">
        <v>72</v>
      </c>
      <c r="C73" s="3">
        <v>-0.17931946900000001</v>
      </c>
      <c r="D73" s="13"/>
      <c r="E73" s="14"/>
    </row>
    <row r="74" spans="1:5" s="3" customFormat="1" x14ac:dyDescent="0.3">
      <c r="A74" s="5" t="s">
        <v>9</v>
      </c>
      <c r="B74" s="5">
        <v>73</v>
      </c>
      <c r="C74" s="3">
        <v>0.15447988500000001</v>
      </c>
      <c r="D74" s="13"/>
      <c r="E74" s="14"/>
    </row>
    <row r="75" spans="1:5" s="3" customFormat="1" x14ac:dyDescent="0.3">
      <c r="A75" s="5" t="s">
        <v>9</v>
      </c>
      <c r="B75" s="5">
        <v>74</v>
      </c>
      <c r="C75" s="3">
        <v>0.158015659</v>
      </c>
      <c r="D75" s="13"/>
      <c r="E75" s="14"/>
    </row>
    <row r="76" spans="1:5" s="3" customFormat="1" x14ac:dyDescent="0.3">
      <c r="A76" s="5" t="s">
        <v>9</v>
      </c>
      <c r="B76" s="5">
        <v>75</v>
      </c>
      <c r="C76" s="3">
        <v>0.14116585800000001</v>
      </c>
      <c r="D76" s="13"/>
      <c r="E76" s="14"/>
    </row>
    <row r="77" spans="1:5" s="3" customFormat="1" ht="15" thickBot="1" x14ac:dyDescent="0.35">
      <c r="A77" s="5" t="s">
        <v>8</v>
      </c>
      <c r="B77" s="5">
        <v>76</v>
      </c>
      <c r="C77" s="3">
        <v>1.2558012299999999E-2</v>
      </c>
      <c r="D77" s="15"/>
      <c r="E77" s="16"/>
    </row>
    <row r="78" spans="1:5" x14ac:dyDescent="0.3">
      <c r="C78" s="1" t="s">
        <v>63</v>
      </c>
    </row>
    <row r="1048576" spans="4:4" x14ac:dyDescent="0.3">
      <c r="D1048576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F9E2-81EF-4EEE-9EF8-A61737DF6D25}">
  <dimension ref="A1:F25"/>
  <sheetViews>
    <sheetView workbookViewId="0">
      <selection activeCell="F28" sqref="F28"/>
    </sheetView>
  </sheetViews>
  <sheetFormatPr defaultRowHeight="14.4" x14ac:dyDescent="0.3"/>
  <cols>
    <col min="1" max="1" width="10" bestFit="1" customWidth="1"/>
    <col min="2" max="2" width="9" bestFit="1" customWidth="1"/>
    <col min="3" max="4" width="8.21875" bestFit="1" customWidth="1"/>
    <col min="5" max="5" width="11.33203125" bestFit="1" customWidth="1"/>
    <col min="6" max="6" width="14.77734375" bestFit="1" customWidth="1"/>
  </cols>
  <sheetData>
    <row r="1" spans="1:6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">
      <c r="A2" s="1" t="s">
        <v>25</v>
      </c>
      <c r="B2" s="1">
        <v>-8.8585433899999996E-2</v>
      </c>
      <c r="C2" s="12">
        <v>-3.1210252899999999E-2</v>
      </c>
      <c r="D2" s="1">
        <v>-1.6004119099999999E-2</v>
      </c>
      <c r="E2" s="1">
        <v>1.52061338E-2</v>
      </c>
      <c r="F2" s="1">
        <v>7.2581314799999991E-2</v>
      </c>
    </row>
    <row r="3" spans="1:6" x14ac:dyDescent="0.3">
      <c r="A3" s="1" t="s">
        <v>26</v>
      </c>
      <c r="B3" s="1">
        <v>0.182719627</v>
      </c>
      <c r="C3" s="12">
        <v>-0.30481483399999998</v>
      </c>
      <c r="D3" s="1">
        <v>-4.1091305299999999E-2</v>
      </c>
      <c r="E3" s="6">
        <v>0.26372352869999999</v>
      </c>
      <c r="F3" s="6">
        <v>-0.22381093229999999</v>
      </c>
    </row>
    <row r="4" spans="1:6" x14ac:dyDescent="0.3">
      <c r="A4" s="1" t="s">
        <v>27</v>
      </c>
      <c r="B4" s="1">
        <v>0.13624878100000001</v>
      </c>
      <c r="C4" s="12">
        <v>0.13965396799999999</v>
      </c>
      <c r="D4" s="1">
        <v>0.13970347899999999</v>
      </c>
      <c r="E4" s="1">
        <v>4.9511000000002081E-5</v>
      </c>
      <c r="F4" s="1">
        <v>3.4546979999999783E-3</v>
      </c>
    </row>
    <row r="5" spans="1:6" x14ac:dyDescent="0.3">
      <c r="A5" s="1" t="s">
        <v>39</v>
      </c>
      <c r="B5" s="3">
        <v>-0.15073273400000001</v>
      </c>
      <c r="C5" s="12">
        <v>0.15084191599999999</v>
      </c>
      <c r="D5" s="1">
        <v>0.17574047300000001</v>
      </c>
      <c r="E5" s="1">
        <v>2.4898557000000016E-2</v>
      </c>
      <c r="F5" s="6">
        <v>0.32647320700000004</v>
      </c>
    </row>
    <row r="6" spans="1:6" x14ac:dyDescent="0.3">
      <c r="A6" s="1" t="s">
        <v>28</v>
      </c>
      <c r="B6" s="1">
        <v>-0.62806883800000002</v>
      </c>
      <c r="C6" s="12">
        <v>-0.32240310100000003</v>
      </c>
      <c r="D6" s="1">
        <v>-0.61025675199999996</v>
      </c>
      <c r="E6" s="6">
        <v>-0.28785365099999993</v>
      </c>
      <c r="F6" s="1">
        <v>1.781208600000006E-2</v>
      </c>
    </row>
    <row r="7" spans="1:6" x14ac:dyDescent="0.3">
      <c r="A7" s="1" t="s">
        <v>29</v>
      </c>
      <c r="B7" s="1">
        <v>0.22605772399999999</v>
      </c>
      <c r="C7" s="12">
        <v>0.23653974</v>
      </c>
      <c r="D7" s="1">
        <v>0.242920894</v>
      </c>
      <c r="E7" s="1">
        <v>6.381154E-3</v>
      </c>
      <c r="F7" s="1">
        <v>1.6863170000000011E-2</v>
      </c>
    </row>
    <row r="8" spans="1:6" x14ac:dyDescent="0.3">
      <c r="A8" s="1" t="s">
        <v>30</v>
      </c>
      <c r="B8" s="1">
        <v>0.161832849</v>
      </c>
      <c r="C8" s="12">
        <v>0.28292563199999998</v>
      </c>
      <c r="D8" s="1">
        <v>0.20547047299999999</v>
      </c>
      <c r="E8" s="1">
        <v>-7.7455158999999996E-2</v>
      </c>
      <c r="F8" s="1">
        <v>4.3637623999999986E-2</v>
      </c>
    </row>
    <row r="9" spans="1:6" x14ac:dyDescent="0.3">
      <c r="A9" s="1" t="s">
        <v>47</v>
      </c>
      <c r="B9" s="1">
        <v>-0.275546811</v>
      </c>
      <c r="C9" s="12">
        <v>-0.38563486699999999</v>
      </c>
      <c r="D9" s="1">
        <v>-0.33910786199999998</v>
      </c>
      <c r="E9" s="1">
        <v>4.652700500000001E-2</v>
      </c>
      <c r="F9" s="1">
        <v>-6.356105099999998E-2</v>
      </c>
    </row>
    <row r="10" spans="1:6" x14ac:dyDescent="0.3">
      <c r="A10" s="1" t="s">
        <v>31</v>
      </c>
      <c r="B10" s="1">
        <v>2.6586028500000001E-2</v>
      </c>
      <c r="C10" s="12">
        <v>5.0801363500000002E-2</v>
      </c>
      <c r="D10" s="1">
        <v>5.8138645799999999E-2</v>
      </c>
      <c r="E10" s="1">
        <v>7.3372822999999976E-3</v>
      </c>
      <c r="F10" s="1">
        <v>3.1552617300000002E-2</v>
      </c>
    </row>
    <row r="11" spans="1:6" x14ac:dyDescent="0.3">
      <c r="A11" s="1" t="s">
        <v>32</v>
      </c>
      <c r="B11" s="1">
        <v>5.4903874900000003E-2</v>
      </c>
      <c r="C11" s="12">
        <v>8.0875699300000006E-2</v>
      </c>
      <c r="D11" s="1">
        <v>0.10415661</v>
      </c>
      <c r="E11" s="1">
        <v>2.328091069999999E-2</v>
      </c>
      <c r="F11" s="1">
        <v>4.9252735099999993E-2</v>
      </c>
    </row>
    <row r="12" spans="1:6" x14ac:dyDescent="0.3">
      <c r="A12" s="1" t="s">
        <v>20</v>
      </c>
      <c r="B12" s="1">
        <v>-0.170798745</v>
      </c>
      <c r="C12" s="12">
        <v>-0.22297377600000001</v>
      </c>
      <c r="D12" s="1">
        <v>-0.291235095</v>
      </c>
      <c r="E12" s="1">
        <v>-6.8261318999999987E-2</v>
      </c>
      <c r="F12" s="6">
        <v>-0.12043635</v>
      </c>
    </row>
    <row r="13" spans="1:6" x14ac:dyDescent="0.3">
      <c r="A13" s="1" t="s">
        <v>35</v>
      </c>
      <c r="B13" s="1">
        <v>0.19218174499999999</v>
      </c>
      <c r="C13" s="12">
        <v>0.19362299399999999</v>
      </c>
      <c r="D13" s="1">
        <v>0.195135488</v>
      </c>
      <c r="E13" s="1">
        <v>1.5124940000000031E-3</v>
      </c>
      <c r="F13" s="1">
        <v>2.9537430000000087E-3</v>
      </c>
    </row>
    <row r="14" spans="1:6" x14ac:dyDescent="0.3">
      <c r="A14" s="1" t="s">
        <v>33</v>
      </c>
      <c r="B14" s="1">
        <v>-0.24529441900000001</v>
      </c>
      <c r="C14" s="12">
        <v>-0.19800274300000001</v>
      </c>
      <c r="D14" s="1">
        <v>-0.20682708899999999</v>
      </c>
      <c r="E14" s="1">
        <v>-8.8243459999999829E-3</v>
      </c>
      <c r="F14" s="1">
        <v>3.8467330000000022E-2</v>
      </c>
    </row>
    <row r="15" spans="1:6" x14ac:dyDescent="0.3">
      <c r="A15" s="1" t="s">
        <v>34</v>
      </c>
      <c r="B15" s="1">
        <v>0.25402095499999999</v>
      </c>
      <c r="C15" s="12">
        <v>0.24757130199999999</v>
      </c>
      <c r="D15" s="1">
        <v>0.25050809800000001</v>
      </c>
      <c r="E15" s="1">
        <v>2.9367960000000193E-3</v>
      </c>
      <c r="F15" s="1">
        <v>-3.5128569999999804E-3</v>
      </c>
    </row>
    <row r="16" spans="1:6" x14ac:dyDescent="0.3">
      <c r="A16" s="1" t="s">
        <v>36</v>
      </c>
      <c r="B16" s="1">
        <v>-9.3339327900000005E-2</v>
      </c>
      <c r="C16" s="12">
        <v>-0.44990539899999998</v>
      </c>
      <c r="D16" s="1">
        <v>-0.31868425099999997</v>
      </c>
      <c r="E16" s="6">
        <v>0.13122114800000001</v>
      </c>
      <c r="F16" s="6">
        <v>-0.22534492309999998</v>
      </c>
    </row>
    <row r="17" spans="1:6" x14ac:dyDescent="0.3">
      <c r="A17" s="1" t="s">
        <v>37</v>
      </c>
      <c r="B17" s="1">
        <v>0.157656713</v>
      </c>
      <c r="C17" s="12">
        <v>0.19472551799999999</v>
      </c>
      <c r="D17" s="1">
        <v>0.19621434200000001</v>
      </c>
      <c r="E17" s="1">
        <v>1.4888240000000275E-3</v>
      </c>
      <c r="F17" s="1">
        <v>3.855762900000001E-2</v>
      </c>
    </row>
    <row r="18" spans="1:6" x14ac:dyDescent="0.3">
      <c r="A18" s="1" t="s">
        <v>38</v>
      </c>
      <c r="B18" s="3">
        <v>-9.9861153499999994E-2</v>
      </c>
      <c r="C18" s="14">
        <v>-0.116193612</v>
      </c>
      <c r="D18" s="3">
        <v>-7.3503750600000001E-2</v>
      </c>
      <c r="E18" s="1">
        <v>4.2689861400000001E-2</v>
      </c>
      <c r="F18" s="1">
        <v>2.6357402899999993E-2</v>
      </c>
    </row>
    <row r="19" spans="1:6" x14ac:dyDescent="0.3">
      <c r="A19" s="1" t="s">
        <v>40</v>
      </c>
      <c r="B19" s="1">
        <v>-0.29707573399999998</v>
      </c>
      <c r="C19" s="12">
        <v>0.140549335</v>
      </c>
      <c r="D19" s="1">
        <v>3.4583245499999998E-2</v>
      </c>
      <c r="E19" s="6">
        <v>-0.1059660895</v>
      </c>
      <c r="F19" s="6">
        <v>0.33165897950000001</v>
      </c>
    </row>
    <row r="20" spans="1:6" x14ac:dyDescent="0.3">
      <c r="A20" s="1" t="s">
        <v>41</v>
      </c>
      <c r="B20" s="1">
        <v>0.178963553</v>
      </c>
      <c r="C20" s="12">
        <v>0.16437617400000001</v>
      </c>
      <c r="D20" s="1">
        <v>0.16806212600000001</v>
      </c>
      <c r="E20" s="1">
        <v>3.6859519999999923E-3</v>
      </c>
      <c r="F20" s="1">
        <v>-1.0901426999999991E-2</v>
      </c>
    </row>
    <row r="21" spans="1:6" x14ac:dyDescent="0.3">
      <c r="A21" s="1" t="s">
        <v>19</v>
      </c>
      <c r="B21" s="1">
        <v>-0.23716135999999999</v>
      </c>
      <c r="C21" s="12">
        <v>-0.43021229999999999</v>
      </c>
      <c r="D21" s="1">
        <v>-0.34171033499999998</v>
      </c>
      <c r="E21" s="1">
        <v>8.8501965000000016E-2</v>
      </c>
      <c r="F21" s="6">
        <v>-0.10454897499999999</v>
      </c>
    </row>
    <row r="22" spans="1:6" x14ac:dyDescent="0.3">
      <c r="A22" s="1" t="s">
        <v>42</v>
      </c>
      <c r="B22" s="1">
        <v>0.1545552</v>
      </c>
      <c r="C22" s="12">
        <v>0.16627735599999999</v>
      </c>
      <c r="D22" s="1">
        <v>0.175154583</v>
      </c>
      <c r="E22" s="1">
        <v>8.8772270000000153E-3</v>
      </c>
      <c r="F22" s="1">
        <v>2.0599382999999999E-2</v>
      </c>
    </row>
    <row r="23" spans="1:6" x14ac:dyDescent="0.3">
      <c r="A23" s="1" t="s">
        <v>43</v>
      </c>
      <c r="B23" s="1">
        <v>0.166649881</v>
      </c>
      <c r="C23" s="12">
        <v>0.163145818</v>
      </c>
      <c r="D23" s="1">
        <v>0.160563765</v>
      </c>
      <c r="E23" s="1">
        <v>-2.5820530000000008E-3</v>
      </c>
      <c r="F23" s="1">
        <v>-6.0861160000000025E-3</v>
      </c>
    </row>
    <row r="24" spans="1:6" x14ac:dyDescent="0.3">
      <c r="A24" s="1" t="s">
        <v>44</v>
      </c>
      <c r="B24" s="1">
        <v>-0.306314541</v>
      </c>
      <c r="C24" s="12">
        <v>-0.25866224599999998</v>
      </c>
      <c r="D24" s="1">
        <v>-0.25689303099999999</v>
      </c>
      <c r="E24" s="1">
        <v>1.7692149999999907E-3</v>
      </c>
      <c r="F24" s="1">
        <v>4.9421510000000002E-2</v>
      </c>
    </row>
    <row r="25" spans="1:6" x14ac:dyDescent="0.3">
      <c r="A25" s="1" t="s">
        <v>45</v>
      </c>
      <c r="B25" s="1">
        <v>0.24561913299999999</v>
      </c>
      <c r="C25" s="12">
        <v>0.26000763900000001</v>
      </c>
      <c r="D25" s="1">
        <v>0.25451299500000002</v>
      </c>
      <c r="E25" s="1">
        <v>-5.494643999999993E-3</v>
      </c>
      <c r="F25" s="1">
        <v>8.8938620000000301E-3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186F-2CC3-4E32-8397-CD722617D7C4}">
  <dimension ref="A1:W1048576"/>
  <sheetViews>
    <sheetView topLeftCell="K1" zoomScale="94" workbookViewId="0">
      <selection activeCell="H13" sqref="H13"/>
    </sheetView>
  </sheetViews>
  <sheetFormatPr defaultRowHeight="14.4" x14ac:dyDescent="0.3"/>
  <cols>
    <col min="4" max="11" width="8.88671875" customWidth="1"/>
    <col min="21" max="21" width="10.6640625" bestFit="1" customWidth="1"/>
  </cols>
  <sheetData>
    <row r="1" spans="1:23" x14ac:dyDescent="0.3">
      <c r="C1" t="s">
        <v>24</v>
      </c>
      <c r="D1" s="9" t="s">
        <v>64</v>
      </c>
      <c r="E1" s="10">
        <v>53</v>
      </c>
      <c r="G1">
        <v>32</v>
      </c>
      <c r="I1" t="s">
        <v>56</v>
      </c>
      <c r="J1" t="s">
        <v>46</v>
      </c>
      <c r="K1" t="s">
        <v>48</v>
      </c>
      <c r="L1" t="s">
        <v>49</v>
      </c>
      <c r="N1" t="s">
        <v>50</v>
      </c>
      <c r="P1" t="s">
        <v>51</v>
      </c>
      <c r="R1" t="s">
        <v>52</v>
      </c>
      <c r="T1" t="s">
        <v>54</v>
      </c>
      <c r="U1" t="s">
        <v>50</v>
      </c>
      <c r="V1" t="s">
        <v>55</v>
      </c>
      <c r="W1" t="s">
        <v>54</v>
      </c>
    </row>
    <row r="2" spans="1:23" s="1" customFormat="1" x14ac:dyDescent="0.3">
      <c r="A2"/>
      <c r="B2">
        <v>1</v>
      </c>
      <c r="C2" s="1">
        <v>1.8878537000000001E-2</v>
      </c>
      <c r="D2" s="11"/>
      <c r="E2" s="12">
        <v>-0.30481483399999998</v>
      </c>
      <c r="G2" s="1">
        <v>-8.8585433899999996E-2</v>
      </c>
      <c r="I2" s="1" t="s">
        <v>25</v>
      </c>
      <c r="J2" s="1">
        <v>-8.8585433899999996E-2</v>
      </c>
      <c r="K2" s="12">
        <v>-3.1210252899999999E-2</v>
      </c>
      <c r="L2" s="1">
        <v>-1.0651266600000001E-2</v>
      </c>
      <c r="N2" s="1">
        <f>L2-K2</f>
        <v>2.0558986299999998E-2</v>
      </c>
      <c r="P2" s="1">
        <f>L2-J2</f>
        <v>7.7934167299999996E-2</v>
      </c>
      <c r="R2" s="1">
        <f>K2-J2</f>
        <v>5.7375180999999997E-2</v>
      </c>
      <c r="U2" s="1">
        <f>N2*2600</f>
        <v>53.453364379999996</v>
      </c>
      <c r="W2" s="1">
        <f>N2*27</f>
        <v>0.55509263009999998</v>
      </c>
    </row>
    <row r="3" spans="1:23" s="1" customFormat="1" x14ac:dyDescent="0.3">
      <c r="A3"/>
      <c r="B3">
        <v>2</v>
      </c>
      <c r="C3" s="1">
        <v>-0.58978091799999999</v>
      </c>
      <c r="D3" s="11"/>
      <c r="E3" s="12">
        <v>-0.32240310100000003</v>
      </c>
      <c r="G3" s="1">
        <v>-0.29707573399999998</v>
      </c>
      <c r="I3" s="1" t="s">
        <v>26</v>
      </c>
      <c r="J3" s="1">
        <v>0.182719627</v>
      </c>
      <c r="K3" s="12">
        <v>-0.30481483399999998</v>
      </c>
      <c r="L3" s="1">
        <v>1.8878537000000001E-2</v>
      </c>
      <c r="N3" s="6">
        <f t="shared" ref="N3:N25" si="0">L3-K3</f>
        <v>0.32369337099999995</v>
      </c>
      <c r="P3" s="6">
        <f t="shared" ref="P3:P25" si="1">L3-J3</f>
        <v>-0.16384108999999999</v>
      </c>
      <c r="R3" s="6">
        <f t="shared" ref="R3:R25" si="2">K3-J3</f>
        <v>-0.48753446099999997</v>
      </c>
      <c r="U3" s="1">
        <f t="shared" ref="U3:U25" si="3">N3*2600</f>
        <v>841.60276459999989</v>
      </c>
      <c r="W3" s="1">
        <f t="shared" ref="W3:W25" si="4">N3*27</f>
        <v>8.739721016999999</v>
      </c>
    </row>
    <row r="4" spans="1:23" s="1" customFormat="1" x14ac:dyDescent="0.3">
      <c r="A4"/>
      <c r="B4">
        <v>3</v>
      </c>
      <c r="C4" s="1">
        <v>-0.33778028500000001</v>
      </c>
      <c r="D4" s="11"/>
      <c r="E4" s="12">
        <v>-0.22297377600000001</v>
      </c>
      <c r="G4" s="1">
        <v>0.182719627</v>
      </c>
      <c r="I4" s="1" t="s">
        <v>27</v>
      </c>
      <c r="J4" s="1">
        <v>0.13624878100000001</v>
      </c>
      <c r="K4" s="12">
        <v>0.13965396799999999</v>
      </c>
      <c r="L4" s="1">
        <v>0.14253918900000001</v>
      </c>
      <c r="N4" s="1">
        <f t="shared" si="0"/>
        <v>2.8852210000000211E-3</v>
      </c>
      <c r="P4" s="1">
        <f t="shared" si="1"/>
        <v>6.2904079999999973E-3</v>
      </c>
      <c r="R4" s="1">
        <f t="shared" si="2"/>
        <v>3.4051869999999762E-3</v>
      </c>
      <c r="U4" s="1">
        <f t="shared" si="3"/>
        <v>7.5015746000000547</v>
      </c>
      <c r="W4" s="1">
        <f t="shared" si="4"/>
        <v>7.7900967000000571E-2</v>
      </c>
    </row>
    <row r="5" spans="1:23" s="1" customFormat="1" x14ac:dyDescent="0.3">
      <c r="A5"/>
      <c r="B5">
        <v>4</v>
      </c>
      <c r="C5" s="1">
        <v>-0.29785567000000002</v>
      </c>
      <c r="D5" s="11"/>
      <c r="E5" s="12">
        <v>-0.44990539899999998</v>
      </c>
      <c r="G5" s="1">
        <v>-9.3339327900000005E-2</v>
      </c>
      <c r="I5" s="1" t="s">
        <v>39</v>
      </c>
      <c r="J5" s="3">
        <v>-0.15073273400000001</v>
      </c>
      <c r="K5" s="12">
        <v>0.15084191599999999</v>
      </c>
      <c r="L5" s="1">
        <v>0.20753980599999999</v>
      </c>
      <c r="N5" s="1">
        <f t="shared" si="0"/>
        <v>5.6697890000000001E-2</v>
      </c>
      <c r="P5" s="6">
        <f t="shared" si="1"/>
        <v>0.35827253999999997</v>
      </c>
      <c r="R5" s="6">
        <f t="shared" si="2"/>
        <v>0.30157465</v>
      </c>
      <c r="U5" s="1">
        <f t="shared" si="3"/>
        <v>147.414514</v>
      </c>
      <c r="W5" s="1">
        <f t="shared" si="4"/>
        <v>1.53084303</v>
      </c>
    </row>
    <row r="6" spans="1:23" s="1" customFormat="1" x14ac:dyDescent="0.3">
      <c r="A6"/>
      <c r="B6">
        <v>5</v>
      </c>
      <c r="C6" s="1">
        <v>3.6699921900000002E-2</v>
      </c>
      <c r="D6" s="11"/>
      <c r="E6" s="12">
        <v>0.140549335</v>
      </c>
      <c r="G6" s="1">
        <v>0.178963553</v>
      </c>
      <c r="I6" s="1" t="s">
        <v>28</v>
      </c>
      <c r="J6" s="1">
        <v>-0.62806883800000002</v>
      </c>
      <c r="K6" s="12">
        <v>-0.32240310100000003</v>
      </c>
      <c r="L6" s="1">
        <v>-0.58978091799999999</v>
      </c>
      <c r="N6" s="6">
        <f t="shared" si="0"/>
        <v>-0.26737781699999996</v>
      </c>
      <c r="P6" s="1">
        <f t="shared" si="1"/>
        <v>3.8287920000000031E-2</v>
      </c>
      <c r="R6" s="6">
        <f t="shared" si="2"/>
        <v>0.30566573699999999</v>
      </c>
      <c r="U6" s="1">
        <f t="shared" si="3"/>
        <v>-695.18232419999993</v>
      </c>
      <c r="W6" s="1">
        <f t="shared" si="4"/>
        <v>-7.2192010589999986</v>
      </c>
    </row>
    <row r="7" spans="1:23" s="1" customFormat="1" x14ac:dyDescent="0.3">
      <c r="A7"/>
      <c r="B7">
        <v>6</v>
      </c>
      <c r="C7" s="1">
        <v>-1.0651266600000001E-2</v>
      </c>
      <c r="D7" s="11"/>
      <c r="E7" s="12">
        <v>-3.1210252899999999E-2</v>
      </c>
      <c r="G7" s="1">
        <v>-0.23716135999999999</v>
      </c>
      <c r="I7" s="1" t="s">
        <v>29</v>
      </c>
      <c r="J7" s="1">
        <v>0.22605772399999999</v>
      </c>
      <c r="K7" s="12">
        <v>0.23653974</v>
      </c>
      <c r="L7" s="1">
        <v>0.24346978</v>
      </c>
      <c r="N7" s="1">
        <f t="shared" si="0"/>
        <v>6.9300399999999984E-3</v>
      </c>
      <c r="P7" s="1">
        <f t="shared" si="1"/>
        <v>1.7412056000000009E-2</v>
      </c>
      <c r="R7" s="1">
        <f t="shared" si="2"/>
        <v>1.0482016000000011E-2</v>
      </c>
      <c r="U7" s="1">
        <f t="shared" si="3"/>
        <v>18.018103999999997</v>
      </c>
      <c r="W7" s="1">
        <f t="shared" si="4"/>
        <v>0.18711107999999996</v>
      </c>
    </row>
    <row r="8" spans="1:23" s="1" customFormat="1" x14ac:dyDescent="0.3">
      <c r="A8"/>
      <c r="B8">
        <v>7</v>
      </c>
      <c r="C8" s="1">
        <v>0.20753980599999999</v>
      </c>
      <c r="D8" s="11"/>
      <c r="E8" s="12">
        <v>0.15084191599999999</v>
      </c>
      <c r="G8" s="1">
        <v>-0.62806883800000002</v>
      </c>
      <c r="I8" s="1" t="s">
        <v>30</v>
      </c>
      <c r="J8" s="1">
        <v>0.161832849</v>
      </c>
      <c r="K8" s="12">
        <v>0.28292563199999998</v>
      </c>
      <c r="L8" s="1">
        <v>0.19557339000000001</v>
      </c>
      <c r="N8" s="1">
        <f t="shared" si="0"/>
        <v>-8.7352241999999969E-2</v>
      </c>
      <c r="P8" s="1">
        <f t="shared" si="1"/>
        <v>3.3740541000000013E-2</v>
      </c>
      <c r="R8" s="6">
        <f t="shared" si="2"/>
        <v>0.12109278299999998</v>
      </c>
      <c r="U8" s="1">
        <f t="shared" si="3"/>
        <v>-227.11582919999992</v>
      </c>
      <c r="W8" s="1">
        <f t="shared" si="4"/>
        <v>-2.3585105339999992</v>
      </c>
    </row>
    <row r="9" spans="1:23" s="1" customFormat="1" x14ac:dyDescent="0.3">
      <c r="A9" s="5" t="s">
        <v>10</v>
      </c>
      <c r="B9" s="5">
        <v>8</v>
      </c>
      <c r="C9" s="3">
        <v>-7.4304524999999996E-2</v>
      </c>
      <c r="D9" s="13" t="s">
        <v>10</v>
      </c>
      <c r="E9" s="14">
        <v>-0.116193612</v>
      </c>
      <c r="G9" s="1">
        <v>0.13624878100000001</v>
      </c>
      <c r="I9" s="1" t="s">
        <v>47</v>
      </c>
      <c r="J9" s="1">
        <v>-0.275546811</v>
      </c>
      <c r="K9" s="12">
        <v>-0.38563486699999999</v>
      </c>
      <c r="L9" s="1">
        <v>-0.30543791300000001</v>
      </c>
      <c r="N9" s="1">
        <f t="shared" si="0"/>
        <v>8.0196953999999987E-2</v>
      </c>
      <c r="P9" s="1">
        <f t="shared" si="1"/>
        <v>-2.9891102000000003E-2</v>
      </c>
      <c r="R9" s="6">
        <f t="shared" si="2"/>
        <v>-0.11008805599999999</v>
      </c>
      <c r="U9" s="1">
        <f t="shared" si="3"/>
        <v>208.51208039999997</v>
      </c>
      <c r="W9" s="1">
        <f t="shared" si="4"/>
        <v>2.1653177579999996</v>
      </c>
    </row>
    <row r="10" spans="1:23" s="1" customFormat="1" x14ac:dyDescent="0.3">
      <c r="A10"/>
      <c r="B10">
        <v>9</v>
      </c>
      <c r="C10" s="1">
        <v>-0.35941447599999998</v>
      </c>
      <c r="D10" s="11"/>
      <c r="E10" s="12">
        <v>-0.43021229999999999</v>
      </c>
      <c r="F10" s="3" t="s">
        <v>8</v>
      </c>
      <c r="G10" s="3">
        <v>-0.15073273400000001</v>
      </c>
      <c r="I10" s="1" t="s">
        <v>31</v>
      </c>
      <c r="J10" s="1">
        <v>2.6586028500000001E-2</v>
      </c>
      <c r="K10" s="12">
        <v>5.0801363500000002E-2</v>
      </c>
      <c r="L10" s="1">
        <v>5.2650583600000002E-2</v>
      </c>
      <c r="N10" s="1">
        <f t="shared" si="0"/>
        <v>1.8492201E-3</v>
      </c>
      <c r="P10" s="1">
        <f t="shared" si="1"/>
        <v>2.6064555100000001E-2</v>
      </c>
      <c r="R10" s="1">
        <f t="shared" si="2"/>
        <v>2.4215335000000001E-2</v>
      </c>
      <c r="U10" s="1">
        <f t="shared" si="3"/>
        <v>4.8079722599999997</v>
      </c>
      <c r="W10" s="1">
        <f t="shared" si="4"/>
        <v>4.9928942699999999E-2</v>
      </c>
    </row>
    <row r="11" spans="1:23" s="1" customFormat="1" x14ac:dyDescent="0.3">
      <c r="A11"/>
      <c r="B11">
        <v>10</v>
      </c>
      <c r="C11" s="1">
        <v>0.32318071599999998</v>
      </c>
      <c r="D11" s="11"/>
      <c r="E11" s="12">
        <v>-0.53526249199999998</v>
      </c>
      <c r="G11" s="1">
        <v>-0.170798745</v>
      </c>
      <c r="I11" s="1" t="s">
        <v>32</v>
      </c>
      <c r="J11" s="1">
        <v>5.4903874900000003E-2</v>
      </c>
      <c r="K11" s="12">
        <v>8.0875699300000006E-2</v>
      </c>
      <c r="L11" s="1">
        <v>8.8332389299999994E-2</v>
      </c>
      <c r="N11" s="1">
        <f t="shared" si="0"/>
        <v>7.456689999999988E-3</v>
      </c>
      <c r="P11" s="1">
        <f t="shared" si="1"/>
        <v>3.3428514399999991E-2</v>
      </c>
      <c r="R11" s="1">
        <f t="shared" si="2"/>
        <v>2.5971824400000003E-2</v>
      </c>
      <c r="U11" s="1">
        <f t="shared" si="3"/>
        <v>19.387393999999968</v>
      </c>
      <c r="W11" s="1">
        <f t="shared" si="4"/>
        <v>0.20133062999999968</v>
      </c>
    </row>
    <row r="12" spans="1:23" s="1" customFormat="1" x14ac:dyDescent="0.3">
      <c r="A12"/>
      <c r="B12">
        <v>11</v>
      </c>
      <c r="C12" s="1">
        <v>-0.74742009200000004</v>
      </c>
      <c r="D12" s="11"/>
      <c r="E12" s="12">
        <v>-0.145435642</v>
      </c>
      <c r="G12" s="1">
        <v>0.157656713</v>
      </c>
      <c r="I12" s="1" t="s">
        <v>20</v>
      </c>
      <c r="J12" s="1">
        <v>-0.170798745</v>
      </c>
      <c r="K12" s="12">
        <v>-0.22297377600000001</v>
      </c>
      <c r="L12" s="1">
        <v>-0.33778028500000001</v>
      </c>
      <c r="N12" s="17">
        <f t="shared" si="0"/>
        <v>-0.114806509</v>
      </c>
      <c r="P12" s="6">
        <f t="shared" si="1"/>
        <v>-0.16698154000000001</v>
      </c>
      <c r="R12" s="1">
        <f t="shared" si="2"/>
        <v>-5.2175031000000011E-2</v>
      </c>
      <c r="U12" s="1">
        <f t="shared" si="3"/>
        <v>-298.49692340000001</v>
      </c>
      <c r="W12" s="1">
        <f t="shared" si="4"/>
        <v>-3.0997757429999999</v>
      </c>
    </row>
    <row r="13" spans="1:23" s="1" customFormat="1" x14ac:dyDescent="0.3">
      <c r="A13"/>
      <c r="B13">
        <v>12</v>
      </c>
      <c r="C13" s="1">
        <v>-1.7308761799999999E-2</v>
      </c>
      <c r="D13" s="11"/>
      <c r="E13" s="12">
        <v>-7.2189278400000001E-2</v>
      </c>
      <c r="F13" s="3" t="s">
        <v>10</v>
      </c>
      <c r="G13" s="3">
        <v>-9.9861153499999994E-2</v>
      </c>
      <c r="I13" s="1" t="s">
        <v>35</v>
      </c>
      <c r="J13" s="1">
        <v>0.19218174499999999</v>
      </c>
      <c r="K13" s="12">
        <v>0.19362299399999999</v>
      </c>
      <c r="L13" s="1">
        <v>0.19378805599999999</v>
      </c>
      <c r="N13" s="1">
        <f t="shared" si="0"/>
        <v>1.650619999999936E-4</v>
      </c>
      <c r="P13" s="1">
        <f t="shared" si="1"/>
        <v>1.6063109999999992E-3</v>
      </c>
      <c r="R13" s="1">
        <f t="shared" si="2"/>
        <v>1.4412490000000056E-3</v>
      </c>
      <c r="U13" s="1">
        <f t="shared" si="3"/>
        <v>0.42916119999998337</v>
      </c>
      <c r="W13" s="1">
        <f t="shared" si="4"/>
        <v>4.4566739999998273E-3</v>
      </c>
    </row>
    <row r="14" spans="1:23" s="1" customFormat="1" x14ac:dyDescent="0.3">
      <c r="A14"/>
      <c r="B14">
        <v>13</v>
      </c>
      <c r="C14" s="1">
        <v>-0.243013327</v>
      </c>
      <c r="D14" s="11"/>
      <c r="E14" s="12">
        <v>0.12444794100000001</v>
      </c>
      <c r="G14" s="1">
        <v>0.1545552</v>
      </c>
      <c r="I14" s="1" t="s">
        <v>33</v>
      </c>
      <c r="J14" s="1">
        <v>-0.24529441900000001</v>
      </c>
      <c r="K14" s="12">
        <v>-0.19800274300000001</v>
      </c>
      <c r="L14" s="1">
        <v>-0.20325943799999999</v>
      </c>
      <c r="N14" s="1">
        <f t="shared" si="0"/>
        <v>-5.2566949999999779E-3</v>
      </c>
      <c r="P14" s="1">
        <f t="shared" si="1"/>
        <v>4.2034981000000027E-2</v>
      </c>
      <c r="R14" s="1">
        <f t="shared" si="2"/>
        <v>4.7291676000000005E-2</v>
      </c>
      <c r="U14" s="1">
        <f t="shared" si="3"/>
        <v>-13.667406999999942</v>
      </c>
      <c r="W14" s="1">
        <f t="shared" si="4"/>
        <v>-0.1419307649999994</v>
      </c>
    </row>
    <row r="15" spans="1:23" s="1" customFormat="1" x14ac:dyDescent="0.3">
      <c r="A15"/>
      <c r="B15">
        <v>14</v>
      </c>
      <c r="C15" s="1">
        <v>-0.59013383399999997</v>
      </c>
      <c r="D15" s="11"/>
      <c r="E15" s="12">
        <v>-0.41667251100000002</v>
      </c>
      <c r="G15" s="1">
        <v>0.166649881</v>
      </c>
      <c r="I15" s="1" t="s">
        <v>34</v>
      </c>
      <c r="J15" s="1">
        <v>0.25402095499999999</v>
      </c>
      <c r="K15" s="12">
        <v>0.24757130199999999</v>
      </c>
      <c r="L15" s="1">
        <v>0.24985147499999999</v>
      </c>
      <c r="N15" s="1">
        <f t="shared" si="0"/>
        <v>2.2801729999999965E-3</v>
      </c>
      <c r="P15" s="1">
        <f t="shared" si="1"/>
        <v>-4.1694800000000032E-3</v>
      </c>
      <c r="R15" s="1">
        <f t="shared" si="2"/>
        <v>-6.4496529999999996E-3</v>
      </c>
      <c r="U15" s="1">
        <f t="shared" si="3"/>
        <v>5.9284497999999903</v>
      </c>
      <c r="W15" s="1">
        <f t="shared" si="4"/>
        <v>6.1564670999999904E-2</v>
      </c>
    </row>
    <row r="16" spans="1:23" s="1" customFormat="1" x14ac:dyDescent="0.3">
      <c r="A16"/>
      <c r="B16">
        <v>15</v>
      </c>
      <c r="C16" s="1">
        <v>-0.119077948</v>
      </c>
      <c r="D16" s="11"/>
      <c r="E16" s="12">
        <v>-4.7181922100000002E-2</v>
      </c>
      <c r="G16" s="1">
        <v>0.22605772399999999</v>
      </c>
      <c r="I16" s="1" t="s">
        <v>36</v>
      </c>
      <c r="J16" s="1">
        <v>-9.3339327900000005E-2</v>
      </c>
      <c r="K16" s="12">
        <v>-0.44990539899999998</v>
      </c>
      <c r="L16" s="1">
        <v>-0.29785567000000002</v>
      </c>
      <c r="N16" s="6">
        <f t="shared" si="0"/>
        <v>0.15204972899999997</v>
      </c>
      <c r="P16" s="6">
        <f t="shared" si="1"/>
        <v>-0.20451634210000003</v>
      </c>
      <c r="R16" s="6">
        <f t="shared" si="2"/>
        <v>-0.35656607109999999</v>
      </c>
      <c r="U16" s="1">
        <f t="shared" si="3"/>
        <v>395.32929539999992</v>
      </c>
      <c r="W16" s="1">
        <f t="shared" si="4"/>
        <v>4.105342682999999</v>
      </c>
    </row>
    <row r="17" spans="1:23" s="1" customFormat="1" x14ac:dyDescent="0.3">
      <c r="A17"/>
      <c r="B17">
        <v>16</v>
      </c>
      <c r="C17" s="1">
        <v>4.8651823099999998E-2</v>
      </c>
      <c r="D17" s="11"/>
      <c r="E17" s="12">
        <v>-0.29955723899999998</v>
      </c>
      <c r="G17" s="1">
        <v>0.161832849</v>
      </c>
      <c r="I17" s="1" t="s">
        <v>37</v>
      </c>
      <c r="J17" s="1">
        <v>0.157656713</v>
      </c>
      <c r="K17" s="12">
        <v>0.19472551799999999</v>
      </c>
      <c r="L17" s="1">
        <v>0.195796421</v>
      </c>
      <c r="N17" s="1">
        <f t="shared" si="0"/>
        <v>1.0709030000000119E-3</v>
      </c>
      <c r="P17" s="1">
        <f t="shared" si="1"/>
        <v>3.8139707999999994E-2</v>
      </c>
      <c r="R17" s="1">
        <f t="shared" si="2"/>
        <v>3.7068804999999982E-2</v>
      </c>
      <c r="U17" s="1">
        <f t="shared" si="3"/>
        <v>2.784347800000031</v>
      </c>
      <c r="W17" s="1">
        <f t="shared" si="4"/>
        <v>2.8914381000000322E-2</v>
      </c>
    </row>
    <row r="18" spans="1:23" s="1" customFormat="1" x14ac:dyDescent="0.3">
      <c r="A18"/>
      <c r="B18">
        <v>17</v>
      </c>
      <c r="C18" s="1">
        <v>-0.17059291300000001</v>
      </c>
      <c r="D18" s="11"/>
      <c r="E18" s="12">
        <v>0.28292563199999998</v>
      </c>
      <c r="F18" s="3" t="s">
        <v>12</v>
      </c>
      <c r="G18" s="3">
        <v>-0.21759994399999999</v>
      </c>
      <c r="I18" s="1" t="s">
        <v>38</v>
      </c>
      <c r="J18" s="3">
        <v>-9.9861153499999994E-2</v>
      </c>
      <c r="K18" s="14">
        <v>-0.116193612</v>
      </c>
      <c r="L18" s="3">
        <v>-7.4304524999999996E-2</v>
      </c>
      <c r="N18" s="1">
        <f t="shared" si="0"/>
        <v>4.1889087000000005E-2</v>
      </c>
      <c r="P18" s="1">
        <f t="shared" si="1"/>
        <v>2.5556628499999998E-2</v>
      </c>
      <c r="R18" s="1">
        <f t="shared" si="2"/>
        <v>-1.6332458500000008E-2</v>
      </c>
      <c r="U18" s="1">
        <f t="shared" si="3"/>
        <v>108.91162620000001</v>
      </c>
      <c r="W18" s="1">
        <f t="shared" si="4"/>
        <v>1.131005349</v>
      </c>
    </row>
    <row r="19" spans="1:23" s="1" customFormat="1" x14ac:dyDescent="0.3">
      <c r="A19"/>
      <c r="B19">
        <v>18</v>
      </c>
      <c r="C19" s="1">
        <v>0.19557339000000001</v>
      </c>
      <c r="D19" s="11"/>
      <c r="E19" s="12">
        <v>-0.38563486699999999</v>
      </c>
      <c r="G19" s="1">
        <v>0.19218174499999999</v>
      </c>
      <c r="I19" s="1" t="s">
        <v>40</v>
      </c>
      <c r="J19" s="1">
        <v>-0.29707573399999998</v>
      </c>
      <c r="K19" s="12">
        <v>0.140549335</v>
      </c>
      <c r="L19" s="1">
        <v>3.6699921900000002E-2</v>
      </c>
      <c r="N19" s="6">
        <f t="shared" si="0"/>
        <v>-0.1038494131</v>
      </c>
      <c r="P19" s="6">
        <f t="shared" si="1"/>
        <v>0.33377565589999997</v>
      </c>
      <c r="R19" s="6">
        <f t="shared" si="2"/>
        <v>0.43762506899999998</v>
      </c>
      <c r="U19" s="1">
        <f t="shared" si="3"/>
        <v>-270.00847405999997</v>
      </c>
      <c r="W19" s="1">
        <f t="shared" si="4"/>
        <v>-2.8039341536999998</v>
      </c>
    </row>
    <row r="20" spans="1:23" s="1" customFormat="1" x14ac:dyDescent="0.3">
      <c r="A20"/>
      <c r="B20">
        <v>19</v>
      </c>
      <c r="C20" s="1">
        <v>-0.30543791300000001</v>
      </c>
      <c r="D20" s="11"/>
      <c r="E20" s="12">
        <v>5.0801363500000002E-2</v>
      </c>
      <c r="G20" s="1">
        <v>-0.24529441900000001</v>
      </c>
      <c r="I20" s="1" t="s">
        <v>41</v>
      </c>
      <c r="J20" s="1">
        <v>0.178963553</v>
      </c>
      <c r="K20" s="12">
        <v>0.16437617400000001</v>
      </c>
      <c r="L20" s="1">
        <v>0.166664865</v>
      </c>
      <c r="N20" s="1">
        <f t="shared" si="0"/>
        <v>2.2886909999999816E-3</v>
      </c>
      <c r="P20" s="1">
        <f t="shared" si="1"/>
        <v>-1.2298688000000002E-2</v>
      </c>
      <c r="R20" s="1">
        <f t="shared" si="2"/>
        <v>-1.4587378999999984E-2</v>
      </c>
      <c r="U20" s="1">
        <f t="shared" si="3"/>
        <v>5.9505965999999519</v>
      </c>
      <c r="W20" s="1">
        <f t="shared" si="4"/>
        <v>6.1794656999999503E-2</v>
      </c>
    </row>
    <row r="21" spans="1:23" s="1" customFormat="1" x14ac:dyDescent="0.3">
      <c r="A21"/>
      <c r="B21">
        <v>20</v>
      </c>
      <c r="C21" s="1">
        <v>5.2650583600000002E-2</v>
      </c>
      <c r="D21" s="11"/>
      <c r="E21" s="12">
        <v>8.0875699300000006E-2</v>
      </c>
      <c r="F21" s="3" t="s">
        <v>13</v>
      </c>
      <c r="G21" s="3">
        <v>-0.21678651500000001</v>
      </c>
      <c r="I21" s="1" t="s">
        <v>19</v>
      </c>
      <c r="J21" s="1">
        <v>-0.23716135999999999</v>
      </c>
      <c r="K21" s="12">
        <v>-0.43021229999999999</v>
      </c>
      <c r="L21" s="1">
        <v>-0.35941447599999998</v>
      </c>
      <c r="N21" s="1">
        <f t="shared" si="0"/>
        <v>7.0797824000000009E-2</v>
      </c>
      <c r="P21" s="6">
        <f t="shared" si="1"/>
        <v>-0.122253116</v>
      </c>
      <c r="R21" s="6">
        <f t="shared" si="2"/>
        <v>-0.19305094</v>
      </c>
      <c r="U21" s="1">
        <f t="shared" si="3"/>
        <v>184.07434240000003</v>
      </c>
      <c r="W21" s="1">
        <f t="shared" si="4"/>
        <v>1.9115412480000002</v>
      </c>
    </row>
    <row r="22" spans="1:23" s="1" customFormat="1" x14ac:dyDescent="0.3">
      <c r="A22"/>
      <c r="B22">
        <v>21</v>
      </c>
      <c r="C22" s="1">
        <v>8.8332389299999994E-2</v>
      </c>
      <c r="D22" s="11"/>
      <c r="E22" s="12">
        <v>-0.19800274300000001</v>
      </c>
      <c r="G22" s="1">
        <v>-0.275546811</v>
      </c>
      <c r="I22" s="1" t="s">
        <v>42</v>
      </c>
      <c r="J22" s="1">
        <v>0.1545552</v>
      </c>
      <c r="K22" s="12">
        <v>0.16627735599999999</v>
      </c>
      <c r="L22" s="1">
        <v>0.175847106</v>
      </c>
      <c r="N22" s="1">
        <f t="shared" si="0"/>
        <v>9.5697500000000157E-3</v>
      </c>
      <c r="P22" s="1">
        <f t="shared" si="1"/>
        <v>2.1291905999999999E-2</v>
      </c>
      <c r="R22" s="1">
        <f t="shared" si="2"/>
        <v>1.1722155999999984E-2</v>
      </c>
      <c r="U22" s="1">
        <f t="shared" si="3"/>
        <v>24.88135000000004</v>
      </c>
      <c r="W22" s="1">
        <f t="shared" si="4"/>
        <v>0.2583832500000004</v>
      </c>
    </row>
    <row r="23" spans="1:23" s="1" customFormat="1" x14ac:dyDescent="0.3">
      <c r="A23"/>
      <c r="B23">
        <v>22</v>
      </c>
      <c r="C23" s="1">
        <v>-0.20325943799999999</v>
      </c>
      <c r="D23" s="11"/>
      <c r="E23" s="12">
        <v>-0.25866224599999998</v>
      </c>
      <c r="F23" s="3" t="s">
        <v>9</v>
      </c>
      <c r="G23" s="3">
        <v>0.166247752</v>
      </c>
      <c r="I23" s="1" t="s">
        <v>43</v>
      </c>
      <c r="J23" s="1">
        <v>0.166649881</v>
      </c>
      <c r="K23" s="12">
        <v>0.163145818</v>
      </c>
      <c r="L23" s="1">
        <v>0.15878402999999999</v>
      </c>
      <c r="N23" s="1">
        <f t="shared" si="0"/>
        <v>-4.3617880000000053E-3</v>
      </c>
      <c r="P23" s="1">
        <f t="shared" si="1"/>
        <v>-7.865851000000007E-3</v>
      </c>
      <c r="R23" s="1">
        <f t="shared" si="2"/>
        <v>-3.5040630000000017E-3</v>
      </c>
      <c r="U23" s="1">
        <f t="shared" si="3"/>
        <v>-11.340648800000015</v>
      </c>
      <c r="W23" s="1">
        <f t="shared" si="4"/>
        <v>-0.11776827600000014</v>
      </c>
    </row>
    <row r="24" spans="1:23" s="1" customFormat="1" x14ac:dyDescent="0.3">
      <c r="A24"/>
      <c r="B24">
        <v>23</v>
      </c>
      <c r="C24" s="1">
        <v>-0.25609599199999999</v>
      </c>
      <c r="D24" s="11"/>
      <c r="E24" s="12">
        <v>-0.23148723399999999</v>
      </c>
      <c r="F24" s="3" t="s">
        <v>9</v>
      </c>
      <c r="G24" s="3">
        <v>0.15260230699999999</v>
      </c>
      <c r="I24" s="1" t="s">
        <v>44</v>
      </c>
      <c r="J24" s="1">
        <v>-0.306314541</v>
      </c>
      <c r="K24" s="12">
        <v>-0.25866224599999998</v>
      </c>
      <c r="L24" s="1">
        <v>-0.25609599199999999</v>
      </c>
      <c r="N24" s="1">
        <f t="shared" si="0"/>
        <v>2.56625399999999E-3</v>
      </c>
      <c r="P24" s="1">
        <f t="shared" si="1"/>
        <v>5.0218549000000001E-2</v>
      </c>
      <c r="R24" s="1">
        <f t="shared" si="2"/>
        <v>4.7652295000000011E-2</v>
      </c>
      <c r="U24" s="1">
        <f t="shared" si="3"/>
        <v>6.6722603999999741</v>
      </c>
      <c r="W24" s="1">
        <f t="shared" si="4"/>
        <v>6.9288857999999731E-2</v>
      </c>
    </row>
    <row r="25" spans="1:23" s="1" customFormat="1" x14ac:dyDescent="0.3">
      <c r="A25"/>
      <c r="B25">
        <v>24</v>
      </c>
      <c r="C25" s="1">
        <v>-0.29287861599999998</v>
      </c>
      <c r="D25" s="11"/>
      <c r="E25" s="12">
        <v>-0.21891544700000001</v>
      </c>
      <c r="F25" s="3" t="s">
        <v>9</v>
      </c>
      <c r="G25" s="3">
        <v>0.13464004800000001</v>
      </c>
      <c r="I25" s="1" t="s">
        <v>45</v>
      </c>
      <c r="J25" s="1">
        <v>0.24561913299999999</v>
      </c>
      <c r="K25" s="12">
        <v>0.26000763900000001</v>
      </c>
      <c r="L25" s="1">
        <v>0.256448817</v>
      </c>
      <c r="N25" s="1">
        <f t="shared" si="0"/>
        <v>-3.558822000000017E-3</v>
      </c>
      <c r="P25" s="1">
        <f t="shared" si="1"/>
        <v>1.0829684000000006E-2</v>
      </c>
      <c r="R25" s="1">
        <f t="shared" si="2"/>
        <v>1.4388506000000023E-2</v>
      </c>
      <c r="U25" s="1">
        <f t="shared" si="3"/>
        <v>-9.2529372000000443</v>
      </c>
      <c r="W25" s="1">
        <f t="shared" si="4"/>
        <v>-9.608819400000046E-2</v>
      </c>
    </row>
    <row r="26" spans="1:23" s="1" customFormat="1" x14ac:dyDescent="0.3">
      <c r="A26"/>
      <c r="B26">
        <v>25</v>
      </c>
      <c r="C26" s="1">
        <v>-0.17961496099999999</v>
      </c>
      <c r="D26" s="11"/>
      <c r="E26" s="12">
        <v>-0.25174112599999998</v>
      </c>
      <c r="G26" s="1">
        <v>0.25402095499999999</v>
      </c>
    </row>
    <row r="27" spans="1:23" s="1" customFormat="1" x14ac:dyDescent="0.3">
      <c r="A27"/>
      <c r="B27">
        <v>26</v>
      </c>
      <c r="C27" s="1">
        <v>-0.32180149899999999</v>
      </c>
      <c r="D27" s="11"/>
      <c r="E27" s="12">
        <v>0.13965396799999999</v>
      </c>
      <c r="F27" s="3" t="s">
        <v>11</v>
      </c>
      <c r="G27" s="3">
        <v>0.12409192300000001</v>
      </c>
    </row>
    <row r="28" spans="1:23" s="1" customFormat="1" x14ac:dyDescent="0.3">
      <c r="A28"/>
      <c r="B28">
        <v>27</v>
      </c>
      <c r="C28" s="1">
        <v>0.14253918900000001</v>
      </c>
      <c r="D28" s="11"/>
      <c r="E28" s="12">
        <v>0.23653974</v>
      </c>
      <c r="F28" s="3" t="s">
        <v>11</v>
      </c>
      <c r="G28" s="3">
        <v>0.147215442</v>
      </c>
    </row>
    <row r="29" spans="1:23" s="1" customFormat="1" x14ac:dyDescent="0.3">
      <c r="A29"/>
      <c r="B29">
        <v>28</v>
      </c>
      <c r="C29" s="1">
        <v>0.24346978</v>
      </c>
      <c r="D29" s="11"/>
      <c r="E29" s="12">
        <v>0.19362299399999999</v>
      </c>
      <c r="F29" s="3" t="s">
        <v>11</v>
      </c>
      <c r="G29" s="3">
        <v>0.16437202200000001</v>
      </c>
    </row>
    <row r="30" spans="1:23" s="1" customFormat="1" x14ac:dyDescent="0.3">
      <c r="A30"/>
      <c r="B30">
        <v>29</v>
      </c>
      <c r="C30" s="1">
        <v>0.19378805599999999</v>
      </c>
      <c r="D30" s="11"/>
      <c r="E30" s="12">
        <v>0.19472551799999999</v>
      </c>
      <c r="G30" s="1">
        <v>5.4903874900000003E-2</v>
      </c>
    </row>
    <row r="31" spans="1:23" s="1" customFormat="1" x14ac:dyDescent="0.3">
      <c r="A31"/>
      <c r="B31">
        <v>30</v>
      </c>
      <c r="C31" s="1">
        <v>0.195796421</v>
      </c>
      <c r="D31" s="11"/>
      <c r="E31" s="12">
        <v>0.16437617400000001</v>
      </c>
      <c r="G31" s="1">
        <v>2.6586028500000001E-2</v>
      </c>
    </row>
    <row r="32" spans="1:23" s="1" customFormat="1" x14ac:dyDescent="0.3">
      <c r="A32"/>
      <c r="B32">
        <v>31</v>
      </c>
      <c r="C32" s="1">
        <v>0.166664865</v>
      </c>
      <c r="D32" s="11"/>
      <c r="E32" s="12">
        <v>0.16627735599999999</v>
      </c>
      <c r="G32" s="1">
        <v>-0.306314541</v>
      </c>
    </row>
    <row r="33" spans="1:7" s="1" customFormat="1" x14ac:dyDescent="0.3">
      <c r="A33"/>
      <c r="B33">
        <v>32</v>
      </c>
      <c r="C33" s="1">
        <v>0.175847106</v>
      </c>
      <c r="D33" s="11"/>
      <c r="E33" s="12">
        <v>0.163145818</v>
      </c>
      <c r="G33" s="1">
        <v>0.24561913299999999</v>
      </c>
    </row>
    <row r="34" spans="1:7" s="1" customFormat="1" x14ac:dyDescent="0.3">
      <c r="A34"/>
      <c r="B34">
        <v>33</v>
      </c>
      <c r="C34" s="1">
        <v>0.15878402999999999</v>
      </c>
      <c r="D34" s="11"/>
      <c r="E34" s="12">
        <v>0.18335869399999999</v>
      </c>
    </row>
    <row r="35" spans="1:7" s="1" customFormat="1" x14ac:dyDescent="0.3">
      <c r="A35"/>
      <c r="B35">
        <v>34</v>
      </c>
      <c r="C35" s="1">
        <v>0.15919849899999999</v>
      </c>
      <c r="D35" s="11"/>
      <c r="E35" s="12">
        <v>0.17853923399999999</v>
      </c>
    </row>
    <row r="36" spans="1:7" s="1" customFormat="1" x14ac:dyDescent="0.3">
      <c r="A36"/>
      <c r="B36">
        <v>35</v>
      </c>
      <c r="C36" s="1">
        <v>0.195051746</v>
      </c>
      <c r="D36" s="11"/>
      <c r="E36" s="12">
        <v>0.192258345</v>
      </c>
    </row>
    <row r="37" spans="1:7" s="1" customFormat="1" x14ac:dyDescent="0.3">
      <c r="A37"/>
      <c r="B37">
        <v>36</v>
      </c>
      <c r="C37" s="1">
        <v>0.201561882</v>
      </c>
      <c r="D37" s="11"/>
      <c r="E37" s="12">
        <v>0.16583831199999999</v>
      </c>
    </row>
    <row r="38" spans="1:7" s="1" customFormat="1" x14ac:dyDescent="0.3">
      <c r="A38"/>
      <c r="B38">
        <v>37</v>
      </c>
      <c r="C38" s="1">
        <v>0.17058771</v>
      </c>
      <c r="D38" s="11"/>
      <c r="E38" s="12">
        <v>0.17705109999999999</v>
      </c>
    </row>
    <row r="39" spans="1:7" s="1" customFormat="1" x14ac:dyDescent="0.3">
      <c r="A39"/>
      <c r="B39">
        <v>38</v>
      </c>
      <c r="C39" s="1">
        <v>0.17244385800000001</v>
      </c>
      <c r="D39" s="11"/>
      <c r="E39" s="12">
        <v>0.17412111</v>
      </c>
    </row>
    <row r="40" spans="1:7" s="1" customFormat="1" x14ac:dyDescent="0.3">
      <c r="A40"/>
      <c r="B40">
        <v>39</v>
      </c>
      <c r="C40" s="1">
        <v>0.17809238699999999</v>
      </c>
      <c r="D40" s="11"/>
      <c r="E40" s="12">
        <v>0.15908138599999999</v>
      </c>
    </row>
    <row r="41" spans="1:7" s="1" customFormat="1" x14ac:dyDescent="0.3">
      <c r="A41"/>
      <c r="B41">
        <v>40</v>
      </c>
      <c r="C41" s="1">
        <v>0.17817776699999999</v>
      </c>
      <c r="D41" s="13" t="s">
        <v>13</v>
      </c>
      <c r="E41" s="14">
        <v>-0.23053628300000001</v>
      </c>
    </row>
    <row r="42" spans="1:7" s="1" customFormat="1" x14ac:dyDescent="0.3">
      <c r="A42" s="5" t="s">
        <v>13</v>
      </c>
      <c r="B42" s="5">
        <v>41</v>
      </c>
      <c r="C42" s="1">
        <v>-0.22727507599999999</v>
      </c>
      <c r="D42" s="13" t="s">
        <v>11</v>
      </c>
      <c r="E42" s="14">
        <v>0.143911285</v>
      </c>
    </row>
    <row r="43" spans="1:7" s="1" customFormat="1" x14ac:dyDescent="0.3">
      <c r="A43" s="5" t="s">
        <v>11</v>
      </c>
      <c r="B43" s="5">
        <v>42</v>
      </c>
      <c r="C43" s="1">
        <v>0.16019831100000001</v>
      </c>
      <c r="D43" s="13" t="s">
        <v>11</v>
      </c>
      <c r="E43" s="14">
        <v>0.15625208600000001</v>
      </c>
    </row>
    <row r="44" spans="1:7" s="1" customFormat="1" x14ac:dyDescent="0.3">
      <c r="A44" s="5" t="s">
        <v>11</v>
      </c>
      <c r="B44" s="5">
        <v>43</v>
      </c>
      <c r="C44" s="1">
        <v>0.13982704900000001</v>
      </c>
      <c r="D44" s="13" t="s">
        <v>11</v>
      </c>
      <c r="E44" s="14">
        <v>0.14995598600000001</v>
      </c>
    </row>
    <row r="45" spans="1:7" s="1" customFormat="1" x14ac:dyDescent="0.3">
      <c r="A45" s="5" t="s">
        <v>11</v>
      </c>
      <c r="B45" s="5">
        <v>44</v>
      </c>
      <c r="C45" s="1">
        <v>0.14466842099999999</v>
      </c>
      <c r="D45" s="11"/>
      <c r="E45" s="12">
        <v>0.24757130199999999</v>
      </c>
    </row>
    <row r="46" spans="1:7" s="1" customFormat="1" x14ac:dyDescent="0.3">
      <c r="A46"/>
      <c r="B46">
        <v>45</v>
      </c>
      <c r="C46" s="1">
        <v>0.24985147499999999</v>
      </c>
      <c r="D46" s="11"/>
      <c r="E46" s="12">
        <v>0.24751794399999999</v>
      </c>
    </row>
    <row r="47" spans="1:7" s="1" customFormat="1" x14ac:dyDescent="0.3">
      <c r="A47"/>
      <c r="B47">
        <v>46</v>
      </c>
      <c r="C47" s="1">
        <v>0.242931972</v>
      </c>
      <c r="D47" s="11"/>
      <c r="E47" s="12">
        <v>0.256677816</v>
      </c>
    </row>
    <row r="48" spans="1:7" s="1" customFormat="1" x14ac:dyDescent="0.3">
      <c r="A48"/>
      <c r="B48">
        <v>47</v>
      </c>
      <c r="C48" s="1">
        <v>0.26529807599999999</v>
      </c>
      <c r="D48" s="11"/>
      <c r="E48" s="12">
        <v>0.26000763900000001</v>
      </c>
    </row>
    <row r="49" spans="1:5" s="1" customFormat="1" x14ac:dyDescent="0.3">
      <c r="A49"/>
      <c r="B49">
        <v>48</v>
      </c>
      <c r="C49" s="1">
        <v>0.256448817</v>
      </c>
      <c r="D49" s="11"/>
      <c r="E49" s="12">
        <v>0.25514181200000002</v>
      </c>
    </row>
    <row r="50" spans="1:5" s="1" customFormat="1" x14ac:dyDescent="0.3">
      <c r="A50"/>
      <c r="B50">
        <v>49</v>
      </c>
      <c r="C50" s="1">
        <v>0.35981173700000002</v>
      </c>
      <c r="D50" s="13" t="s">
        <v>12</v>
      </c>
      <c r="E50" s="14">
        <v>-0.204439755</v>
      </c>
    </row>
    <row r="51" spans="1:5" s="1" customFormat="1" x14ac:dyDescent="0.3">
      <c r="A51"/>
      <c r="B51">
        <v>50</v>
      </c>
      <c r="C51" s="1">
        <v>0.25754136100000002</v>
      </c>
      <c r="D51" s="13" t="s">
        <v>9</v>
      </c>
      <c r="E51" s="14">
        <v>0.159252962</v>
      </c>
    </row>
    <row r="52" spans="1:5" s="1" customFormat="1" x14ac:dyDescent="0.3">
      <c r="A52"/>
      <c r="B52">
        <v>51</v>
      </c>
      <c r="C52" s="1">
        <v>-0.60474443</v>
      </c>
      <c r="D52" s="13" t="s">
        <v>9</v>
      </c>
      <c r="E52" s="14">
        <v>0.13178062600000001</v>
      </c>
    </row>
    <row r="53" spans="1:5" s="1" customFormat="1" x14ac:dyDescent="0.3">
      <c r="A53"/>
      <c r="B53">
        <v>52</v>
      </c>
      <c r="C53" s="1">
        <v>-0.22354883</v>
      </c>
      <c r="D53" s="13" t="s">
        <v>9</v>
      </c>
      <c r="E53" s="14">
        <v>0.17085028299999999</v>
      </c>
    </row>
    <row r="54" spans="1:5" s="1" customFormat="1" x14ac:dyDescent="0.3">
      <c r="A54"/>
      <c r="B54">
        <v>53</v>
      </c>
      <c r="C54" s="1">
        <v>3.5880182699999999E-2</v>
      </c>
      <c r="D54" s="13" t="s">
        <v>8</v>
      </c>
      <c r="E54" s="14">
        <v>-0.12451931500000001</v>
      </c>
    </row>
    <row r="55" spans="1:5" s="1" customFormat="1" x14ac:dyDescent="0.3">
      <c r="A55"/>
      <c r="B55">
        <v>54</v>
      </c>
      <c r="C55" s="1">
        <v>-0.34141339199999998</v>
      </c>
      <c r="D55" s="11"/>
      <c r="E55" s="12"/>
    </row>
    <row r="56" spans="1:5" s="1" customFormat="1" x14ac:dyDescent="0.3">
      <c r="A56"/>
      <c r="B56">
        <v>55</v>
      </c>
      <c r="C56" s="1">
        <v>-6.2554992099999998E-2</v>
      </c>
      <c r="D56" s="11"/>
      <c r="E56" s="12"/>
    </row>
    <row r="57" spans="1:5" s="1" customFormat="1" x14ac:dyDescent="0.3">
      <c r="A57"/>
      <c r="B57">
        <v>56</v>
      </c>
      <c r="C57" s="1">
        <v>-0.12151382300000001</v>
      </c>
      <c r="D57" s="11"/>
      <c r="E57" s="12"/>
    </row>
    <row r="58" spans="1:5" s="1" customFormat="1" x14ac:dyDescent="0.3">
      <c r="A58"/>
      <c r="B58">
        <v>57</v>
      </c>
      <c r="C58" s="1">
        <v>-0.32162314400000003</v>
      </c>
      <c r="D58" s="11"/>
      <c r="E58" s="12"/>
    </row>
    <row r="59" spans="1:5" s="1" customFormat="1" x14ac:dyDescent="0.3">
      <c r="A59"/>
      <c r="B59">
        <v>58</v>
      </c>
      <c r="C59" s="1">
        <v>0.22506041299999999</v>
      </c>
      <c r="D59" s="11"/>
      <c r="E59" s="12"/>
    </row>
    <row r="60" spans="1:5" s="1" customFormat="1" x14ac:dyDescent="0.3">
      <c r="A60"/>
      <c r="B60">
        <v>59</v>
      </c>
      <c r="C60" s="1">
        <v>-0.297723715</v>
      </c>
      <c r="D60" s="11"/>
      <c r="E60" s="12"/>
    </row>
    <row r="61" spans="1:5" s="1" customFormat="1" x14ac:dyDescent="0.3">
      <c r="A61"/>
      <c r="B61">
        <v>60</v>
      </c>
      <c r="C61" s="1">
        <v>4.9406543099999999E-2</v>
      </c>
      <c r="D61" s="11"/>
      <c r="E61" s="12"/>
    </row>
    <row r="62" spans="1:5" s="1" customFormat="1" x14ac:dyDescent="0.3">
      <c r="A62"/>
      <c r="B62">
        <v>61</v>
      </c>
      <c r="C62" s="1">
        <v>4.8635589999999999E-2</v>
      </c>
      <c r="D62" s="11"/>
      <c r="E62" s="12"/>
    </row>
    <row r="63" spans="1:5" s="1" customFormat="1" x14ac:dyDescent="0.3">
      <c r="A63"/>
      <c r="B63">
        <v>62</v>
      </c>
      <c r="C63" s="1">
        <v>-0.24710491400000001</v>
      </c>
      <c r="D63" s="11"/>
      <c r="E63" s="12"/>
    </row>
    <row r="64" spans="1:5" s="1" customFormat="1" x14ac:dyDescent="0.3">
      <c r="A64"/>
      <c r="B64">
        <v>63</v>
      </c>
      <c r="C64" s="1">
        <v>-0.33798953199999998</v>
      </c>
      <c r="D64" s="11"/>
      <c r="E64" s="12"/>
    </row>
    <row r="65" spans="1:5" s="1" customFormat="1" x14ac:dyDescent="0.3">
      <c r="A65"/>
      <c r="B65">
        <v>64</v>
      </c>
      <c r="C65" s="1">
        <v>0.19060402600000001</v>
      </c>
      <c r="D65" s="11"/>
      <c r="E65" s="12"/>
    </row>
    <row r="66" spans="1:5" s="1" customFormat="1" x14ac:dyDescent="0.3">
      <c r="A66"/>
      <c r="B66">
        <v>65</v>
      </c>
      <c r="C66" s="1">
        <v>0.23456461200000001</v>
      </c>
      <c r="D66" s="11"/>
      <c r="E66" s="12"/>
    </row>
    <row r="67" spans="1:5" s="1" customFormat="1" x14ac:dyDescent="0.3">
      <c r="A67"/>
      <c r="B67">
        <v>66</v>
      </c>
      <c r="C67" s="1">
        <v>0.19488301999999999</v>
      </c>
      <c r="D67" s="11"/>
      <c r="E67" s="12"/>
    </row>
    <row r="68" spans="1:5" s="1" customFormat="1" x14ac:dyDescent="0.3">
      <c r="A68"/>
      <c r="B68">
        <v>67</v>
      </c>
      <c r="C68" s="1">
        <v>0.17474582</v>
      </c>
      <c r="D68" s="11"/>
      <c r="E68" s="12"/>
    </row>
    <row r="69" spans="1:5" s="1" customFormat="1" x14ac:dyDescent="0.3">
      <c r="A69"/>
      <c r="B69">
        <v>68</v>
      </c>
      <c r="C69" s="1">
        <v>0.177148677</v>
      </c>
      <c r="D69" s="11"/>
      <c r="E69" s="12"/>
    </row>
    <row r="70" spans="1:5" s="1" customFormat="1" x14ac:dyDescent="0.3">
      <c r="A70"/>
      <c r="B70">
        <v>69</v>
      </c>
      <c r="C70" s="1">
        <v>0.170736319</v>
      </c>
      <c r="D70" s="11"/>
      <c r="E70" s="12"/>
    </row>
    <row r="71" spans="1:5" s="1" customFormat="1" x14ac:dyDescent="0.3">
      <c r="A71"/>
      <c r="B71">
        <v>70</v>
      </c>
      <c r="C71" s="1">
        <v>0.17448643799999999</v>
      </c>
      <c r="D71" s="11"/>
      <c r="E71" s="12"/>
    </row>
    <row r="72" spans="1:5" s="1" customFormat="1" x14ac:dyDescent="0.3">
      <c r="A72"/>
      <c r="B72">
        <v>71</v>
      </c>
      <c r="C72" s="1">
        <v>0.36995652800000001</v>
      </c>
      <c r="D72" s="11"/>
      <c r="E72" s="12"/>
    </row>
    <row r="73" spans="1:5" s="3" customFormat="1" x14ac:dyDescent="0.3">
      <c r="A73" s="5" t="s">
        <v>12</v>
      </c>
      <c r="B73" s="5">
        <v>72</v>
      </c>
      <c r="C73" s="1">
        <v>0.27571843099999999</v>
      </c>
      <c r="D73" s="13"/>
      <c r="E73" s="14"/>
    </row>
    <row r="74" spans="1:5" s="3" customFormat="1" x14ac:dyDescent="0.3">
      <c r="A74" s="5" t="s">
        <v>9</v>
      </c>
      <c r="B74" s="5">
        <v>73</v>
      </c>
      <c r="D74" s="13"/>
      <c r="E74" s="14"/>
    </row>
    <row r="75" spans="1:5" s="3" customFormat="1" x14ac:dyDescent="0.3">
      <c r="A75" s="5" t="s">
        <v>9</v>
      </c>
      <c r="B75" s="5">
        <v>74</v>
      </c>
      <c r="D75" s="13"/>
      <c r="E75" s="14"/>
    </row>
    <row r="76" spans="1:5" s="3" customFormat="1" x14ac:dyDescent="0.3">
      <c r="A76" s="5" t="s">
        <v>9</v>
      </c>
      <c r="B76" s="5">
        <v>75</v>
      </c>
      <c r="D76" s="13"/>
      <c r="E76" s="14"/>
    </row>
    <row r="77" spans="1:5" s="3" customFormat="1" ht="15" thickBot="1" x14ac:dyDescent="0.35">
      <c r="A77" s="5" t="s">
        <v>8</v>
      </c>
      <c r="B77" s="5">
        <v>76</v>
      </c>
      <c r="D77" s="15"/>
      <c r="E77" s="16"/>
    </row>
    <row r="1048576" spans="4:4" x14ac:dyDescent="0.3">
      <c r="D1048576" s="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5BF8-667C-4B9B-8E91-2D5B868E0DD2}">
  <dimension ref="A1:F25"/>
  <sheetViews>
    <sheetView workbookViewId="0">
      <selection activeCell="G19" sqref="G19"/>
    </sheetView>
  </sheetViews>
  <sheetFormatPr defaultRowHeight="14.4" x14ac:dyDescent="0.3"/>
  <sheetData>
    <row r="1" spans="1:6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">
      <c r="A2" s="1" t="s">
        <v>25</v>
      </c>
      <c r="B2" s="1">
        <v>-8.8585433899999996E-2</v>
      </c>
      <c r="C2" s="12">
        <v>-3.1210252899999999E-2</v>
      </c>
      <c r="D2" s="1">
        <v>-1.0651266600000001E-2</v>
      </c>
      <c r="E2" s="1">
        <v>2.0558986299999998E-2</v>
      </c>
      <c r="F2" s="1">
        <v>7.7934167299999996E-2</v>
      </c>
    </row>
    <row r="3" spans="1:6" x14ac:dyDescent="0.3">
      <c r="A3" s="1" t="s">
        <v>26</v>
      </c>
      <c r="B3" s="1">
        <v>0.182719627</v>
      </c>
      <c r="C3" s="12">
        <v>-0.30481483399999998</v>
      </c>
      <c r="D3" s="1">
        <v>1.8878537000000001E-2</v>
      </c>
      <c r="E3" s="6">
        <v>0.32369337099999995</v>
      </c>
      <c r="F3" s="6">
        <v>-0.16384108999999999</v>
      </c>
    </row>
    <row r="4" spans="1:6" x14ac:dyDescent="0.3">
      <c r="A4" s="1" t="s">
        <v>27</v>
      </c>
      <c r="B4" s="1">
        <v>0.13624878100000001</v>
      </c>
      <c r="C4" s="12">
        <v>0.13965396799999999</v>
      </c>
      <c r="D4" s="1">
        <v>0.14253918900000001</v>
      </c>
      <c r="E4" s="1">
        <v>2.8852210000000211E-3</v>
      </c>
      <c r="F4" s="1">
        <v>6.2904079999999973E-3</v>
      </c>
    </row>
    <row r="5" spans="1:6" x14ac:dyDescent="0.3">
      <c r="A5" s="1" t="s">
        <v>39</v>
      </c>
      <c r="B5" s="3">
        <v>-0.15073273400000001</v>
      </c>
      <c r="C5" s="12">
        <v>0.15084191599999999</v>
      </c>
      <c r="D5" s="1">
        <v>0.20753980599999999</v>
      </c>
      <c r="E5" s="1">
        <v>5.6697890000000001E-2</v>
      </c>
      <c r="F5" s="6">
        <v>0.35827253999999997</v>
      </c>
    </row>
    <row r="6" spans="1:6" x14ac:dyDescent="0.3">
      <c r="A6" s="1" t="s">
        <v>28</v>
      </c>
      <c r="B6" s="1">
        <v>-0.62806883800000002</v>
      </c>
      <c r="C6" s="12">
        <v>-0.32240310100000003</v>
      </c>
      <c r="D6" s="1">
        <v>-0.58978091799999999</v>
      </c>
      <c r="E6" s="6">
        <v>-0.26737781699999996</v>
      </c>
      <c r="F6" s="1">
        <v>3.8287920000000031E-2</v>
      </c>
    </row>
    <row r="7" spans="1:6" x14ac:dyDescent="0.3">
      <c r="A7" s="1" t="s">
        <v>29</v>
      </c>
      <c r="B7" s="1">
        <v>0.22605772399999999</v>
      </c>
      <c r="C7" s="12">
        <v>0.23653974</v>
      </c>
      <c r="D7" s="1">
        <v>0.24346978</v>
      </c>
      <c r="E7" s="1">
        <v>6.9300399999999984E-3</v>
      </c>
      <c r="F7" s="1">
        <v>1.7412056000000009E-2</v>
      </c>
    </row>
    <row r="8" spans="1:6" x14ac:dyDescent="0.3">
      <c r="A8" s="1" t="s">
        <v>30</v>
      </c>
      <c r="B8" s="1">
        <v>0.161832849</v>
      </c>
      <c r="C8" s="12">
        <v>0.28292563199999998</v>
      </c>
      <c r="D8" s="1">
        <v>0.19557339000000001</v>
      </c>
      <c r="E8" s="1">
        <v>-8.7352241999999969E-2</v>
      </c>
      <c r="F8" s="1">
        <v>3.3740541000000013E-2</v>
      </c>
    </row>
    <row r="9" spans="1:6" x14ac:dyDescent="0.3">
      <c r="A9" s="1" t="s">
        <v>47</v>
      </c>
      <c r="B9" s="1">
        <v>-0.275546811</v>
      </c>
      <c r="C9" s="12">
        <v>-0.38563486699999999</v>
      </c>
      <c r="D9" s="1">
        <v>-0.30543791300000001</v>
      </c>
      <c r="E9" s="1">
        <v>8.0196953999999987E-2</v>
      </c>
      <c r="F9" s="1">
        <v>-2.9891102000000003E-2</v>
      </c>
    </row>
    <row r="10" spans="1:6" x14ac:dyDescent="0.3">
      <c r="A10" s="1" t="s">
        <v>31</v>
      </c>
      <c r="B10" s="1">
        <v>2.6586028500000001E-2</v>
      </c>
      <c r="C10" s="12">
        <v>5.0801363500000002E-2</v>
      </c>
      <c r="D10" s="1">
        <v>5.2650583600000002E-2</v>
      </c>
      <c r="E10" s="1">
        <v>1.8492201E-3</v>
      </c>
      <c r="F10" s="1">
        <v>2.6064555100000001E-2</v>
      </c>
    </row>
    <row r="11" spans="1:6" x14ac:dyDescent="0.3">
      <c r="A11" s="1" t="s">
        <v>32</v>
      </c>
      <c r="B11" s="1">
        <v>5.4903874900000003E-2</v>
      </c>
      <c r="C11" s="12">
        <v>8.0875699300000006E-2</v>
      </c>
      <c r="D11" s="1">
        <v>8.8332389299999994E-2</v>
      </c>
      <c r="E11" s="1">
        <v>7.456689999999988E-3</v>
      </c>
      <c r="F11" s="1">
        <v>3.3428514399999991E-2</v>
      </c>
    </row>
    <row r="12" spans="1:6" x14ac:dyDescent="0.3">
      <c r="A12" s="1" t="s">
        <v>20</v>
      </c>
      <c r="B12" s="1">
        <v>-0.170798745</v>
      </c>
      <c r="C12" s="12">
        <v>-0.22297377600000001</v>
      </c>
      <c r="D12" s="1">
        <v>-0.33778028500000001</v>
      </c>
      <c r="E12" s="17">
        <v>-0.114806509</v>
      </c>
      <c r="F12" s="6">
        <v>-0.16698154000000001</v>
      </c>
    </row>
    <row r="13" spans="1:6" x14ac:dyDescent="0.3">
      <c r="A13" s="1" t="s">
        <v>35</v>
      </c>
      <c r="B13" s="1">
        <v>0.19218174499999999</v>
      </c>
      <c r="C13" s="12">
        <v>0.19362299399999999</v>
      </c>
      <c r="D13" s="1">
        <v>0.19378805599999999</v>
      </c>
      <c r="E13" s="1">
        <v>1.650619999999936E-4</v>
      </c>
      <c r="F13" s="1">
        <v>1.6063109999999992E-3</v>
      </c>
    </row>
    <row r="14" spans="1:6" x14ac:dyDescent="0.3">
      <c r="A14" s="1" t="s">
        <v>33</v>
      </c>
      <c r="B14" s="1">
        <v>-0.24529441900000001</v>
      </c>
      <c r="C14" s="12">
        <v>-0.19800274300000001</v>
      </c>
      <c r="D14" s="1">
        <v>-0.20325943799999999</v>
      </c>
      <c r="E14" s="1">
        <v>-5.2566949999999779E-3</v>
      </c>
      <c r="F14" s="1">
        <v>4.2034981000000027E-2</v>
      </c>
    </row>
    <row r="15" spans="1:6" x14ac:dyDescent="0.3">
      <c r="A15" s="1" t="s">
        <v>34</v>
      </c>
      <c r="B15" s="1">
        <v>0.25402095499999999</v>
      </c>
      <c r="C15" s="12">
        <v>0.24757130199999999</v>
      </c>
      <c r="D15" s="1">
        <v>0.24985147499999999</v>
      </c>
      <c r="E15" s="1">
        <v>2.2801729999999965E-3</v>
      </c>
      <c r="F15" s="1">
        <v>-4.1694800000000032E-3</v>
      </c>
    </row>
    <row r="16" spans="1:6" x14ac:dyDescent="0.3">
      <c r="A16" s="1" t="s">
        <v>36</v>
      </c>
      <c r="B16" s="1">
        <v>-9.3339327900000005E-2</v>
      </c>
      <c r="C16" s="12">
        <v>-0.44990539899999998</v>
      </c>
      <c r="D16" s="1">
        <v>-0.29785567000000002</v>
      </c>
      <c r="E16" s="6">
        <v>0.15204972899999997</v>
      </c>
      <c r="F16" s="6">
        <v>-0.20451634210000003</v>
      </c>
    </row>
    <row r="17" spans="1:6" x14ac:dyDescent="0.3">
      <c r="A17" s="1" t="s">
        <v>37</v>
      </c>
      <c r="B17" s="1">
        <v>0.157656713</v>
      </c>
      <c r="C17" s="12">
        <v>0.19472551799999999</v>
      </c>
      <c r="D17" s="1">
        <v>0.195796421</v>
      </c>
      <c r="E17" s="1">
        <v>1.0709030000000119E-3</v>
      </c>
      <c r="F17" s="1">
        <v>3.8139707999999994E-2</v>
      </c>
    </row>
    <row r="18" spans="1:6" x14ac:dyDescent="0.3">
      <c r="A18" s="1" t="s">
        <v>38</v>
      </c>
      <c r="B18" s="3">
        <v>-9.9861153499999994E-2</v>
      </c>
      <c r="C18" s="14">
        <v>-0.116193612</v>
      </c>
      <c r="D18" s="3">
        <v>-7.4304524999999996E-2</v>
      </c>
      <c r="E18" s="1">
        <v>4.1889087000000005E-2</v>
      </c>
      <c r="F18" s="1">
        <v>2.5556628499999998E-2</v>
      </c>
    </row>
    <row r="19" spans="1:6" x14ac:dyDescent="0.3">
      <c r="A19" s="1" t="s">
        <v>40</v>
      </c>
      <c r="B19" s="1">
        <v>-0.29707573399999998</v>
      </c>
      <c r="C19" s="12">
        <v>0.140549335</v>
      </c>
      <c r="D19" s="1">
        <v>3.6699921900000002E-2</v>
      </c>
      <c r="E19" s="6">
        <v>-0.1038494131</v>
      </c>
      <c r="F19" s="6">
        <v>0.33377565589999997</v>
      </c>
    </row>
    <row r="20" spans="1:6" x14ac:dyDescent="0.3">
      <c r="A20" s="1" t="s">
        <v>41</v>
      </c>
      <c r="B20" s="1">
        <v>0.178963553</v>
      </c>
      <c r="C20" s="12">
        <v>0.16437617400000001</v>
      </c>
      <c r="D20" s="1">
        <v>0.166664865</v>
      </c>
      <c r="E20" s="1">
        <v>2.2886909999999816E-3</v>
      </c>
      <c r="F20" s="1">
        <v>-1.2298688000000002E-2</v>
      </c>
    </row>
    <row r="21" spans="1:6" x14ac:dyDescent="0.3">
      <c r="A21" s="1" t="s">
        <v>19</v>
      </c>
      <c r="B21" s="1">
        <v>-0.23716135999999999</v>
      </c>
      <c r="C21" s="12">
        <v>-0.43021229999999999</v>
      </c>
      <c r="D21" s="1">
        <v>-0.35941447599999998</v>
      </c>
      <c r="E21" s="1">
        <v>7.0797824000000009E-2</v>
      </c>
      <c r="F21" s="6">
        <v>-0.122253116</v>
      </c>
    </row>
    <row r="22" spans="1:6" x14ac:dyDescent="0.3">
      <c r="A22" s="1" t="s">
        <v>42</v>
      </c>
      <c r="B22" s="1">
        <v>0.1545552</v>
      </c>
      <c r="C22" s="12">
        <v>0.16627735599999999</v>
      </c>
      <c r="D22" s="1">
        <v>0.175847106</v>
      </c>
      <c r="E22" s="1">
        <v>9.5697500000000157E-3</v>
      </c>
      <c r="F22" s="1">
        <v>2.1291905999999999E-2</v>
      </c>
    </row>
    <row r="23" spans="1:6" x14ac:dyDescent="0.3">
      <c r="A23" s="1" t="s">
        <v>43</v>
      </c>
      <c r="B23" s="1">
        <v>0.166649881</v>
      </c>
      <c r="C23" s="12">
        <v>0.163145818</v>
      </c>
      <c r="D23" s="1">
        <v>0.15878402999999999</v>
      </c>
      <c r="E23" s="1">
        <v>-4.3617880000000053E-3</v>
      </c>
      <c r="F23" s="1">
        <v>-7.865851000000007E-3</v>
      </c>
    </row>
    <row r="24" spans="1:6" x14ac:dyDescent="0.3">
      <c r="A24" s="1" t="s">
        <v>44</v>
      </c>
      <c r="B24" s="1">
        <v>-0.306314541</v>
      </c>
      <c r="C24" s="12">
        <v>-0.25866224599999998</v>
      </c>
      <c r="D24" s="1">
        <v>-0.25609599199999999</v>
      </c>
      <c r="E24" s="1">
        <v>2.56625399999999E-3</v>
      </c>
      <c r="F24" s="1">
        <v>5.0218549000000001E-2</v>
      </c>
    </row>
    <row r="25" spans="1:6" x14ac:dyDescent="0.3">
      <c r="A25" s="1" t="s">
        <v>45</v>
      </c>
      <c r="B25" s="1">
        <v>0.24561913299999999</v>
      </c>
      <c r="C25" s="12">
        <v>0.26000763900000001</v>
      </c>
      <c r="D25" s="1">
        <v>0.256448817</v>
      </c>
      <c r="E25" s="1">
        <v>-3.558822000000017E-3</v>
      </c>
      <c r="F25" s="1">
        <v>1.0829684000000006E-2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7096-4C0A-4D26-A219-985D82354573}">
  <dimension ref="A1:W1048576"/>
  <sheetViews>
    <sheetView topLeftCell="G1" zoomScale="94" workbookViewId="0">
      <selection activeCell="P2" sqref="P2:P25"/>
    </sheetView>
  </sheetViews>
  <sheetFormatPr defaultRowHeight="14.4" x14ac:dyDescent="0.3"/>
  <cols>
    <col min="3" max="3" width="12.21875" bestFit="1" customWidth="1"/>
    <col min="4" max="11" width="8.88671875" customWidth="1"/>
    <col min="21" max="21" width="10.6640625" bestFit="1" customWidth="1"/>
  </cols>
  <sheetData>
    <row r="1" spans="1:23" x14ac:dyDescent="0.3">
      <c r="C1" t="s">
        <v>67</v>
      </c>
      <c r="D1" s="9"/>
      <c r="E1" s="10">
        <v>53</v>
      </c>
      <c r="G1">
        <v>32</v>
      </c>
      <c r="I1" t="s">
        <v>56</v>
      </c>
      <c r="J1" t="s">
        <v>46</v>
      </c>
      <c r="K1" t="s">
        <v>48</v>
      </c>
      <c r="L1" t="s">
        <v>49</v>
      </c>
      <c r="N1" t="s">
        <v>50</v>
      </c>
      <c r="P1" t="s">
        <v>51</v>
      </c>
      <c r="R1" t="s">
        <v>52</v>
      </c>
      <c r="T1" t="s">
        <v>54</v>
      </c>
      <c r="U1" t="s">
        <v>50</v>
      </c>
      <c r="V1" t="s">
        <v>55</v>
      </c>
      <c r="W1" t="s">
        <v>54</v>
      </c>
    </row>
    <row r="2" spans="1:23" s="1" customFormat="1" x14ac:dyDescent="0.3">
      <c r="A2"/>
      <c r="B2">
        <v>1</v>
      </c>
      <c r="C2" s="19">
        <v>1.73404908E-2</v>
      </c>
      <c r="D2" s="11"/>
      <c r="E2" s="12">
        <v>-0.30481483399999998</v>
      </c>
      <c r="G2" s="1">
        <v>-8.8585433899999996E-2</v>
      </c>
      <c r="I2" s="1" t="s">
        <v>25</v>
      </c>
      <c r="J2" s="1">
        <v>-8.8585433899999996E-2</v>
      </c>
      <c r="K2" s="12">
        <v>-3.1210252899999999E-2</v>
      </c>
      <c r="L2" s="1">
        <f>C7</f>
        <v>-6.61683514E-3</v>
      </c>
      <c r="N2" s="1">
        <f>L2-K2</f>
        <v>2.459341776E-2</v>
      </c>
      <c r="P2" s="1">
        <f>L2-J2</f>
        <v>8.1968598759999997E-2</v>
      </c>
      <c r="R2" s="1">
        <f>K2-J2</f>
        <v>5.7375180999999997E-2</v>
      </c>
      <c r="U2" s="1">
        <f>N2*2600</f>
        <v>63.942886176000002</v>
      </c>
      <c r="W2" s="1">
        <f>N2*27</f>
        <v>0.66402227952000004</v>
      </c>
    </row>
    <row r="3" spans="1:23" s="1" customFormat="1" x14ac:dyDescent="0.3">
      <c r="A3"/>
      <c r="B3">
        <v>2</v>
      </c>
      <c r="C3" s="19">
        <v>-0.58424532399999995</v>
      </c>
      <c r="D3" s="11"/>
      <c r="E3" s="12">
        <v>-0.32240310100000003</v>
      </c>
      <c r="G3" s="1">
        <v>-0.29707573399999998</v>
      </c>
      <c r="I3" s="1" t="s">
        <v>26</v>
      </c>
      <c r="J3" s="1">
        <v>0.182719627</v>
      </c>
      <c r="K3" s="12">
        <v>-0.30481483399999998</v>
      </c>
      <c r="L3" s="1">
        <f>C2</f>
        <v>1.73404908E-2</v>
      </c>
      <c r="N3" s="6">
        <f t="shared" ref="N3:N25" si="0">L3-K3</f>
        <v>0.32215532479999998</v>
      </c>
      <c r="P3" s="6">
        <f t="shared" ref="P3:P25" si="1">L3-J3</f>
        <v>-0.1653791362</v>
      </c>
      <c r="R3" s="6">
        <f t="shared" ref="R3:R25" si="2">K3-J3</f>
        <v>-0.48753446099999997</v>
      </c>
      <c r="U3" s="1">
        <f t="shared" ref="U3:U25" si="3">N3*2600</f>
        <v>837.60384447999991</v>
      </c>
      <c r="W3" s="1">
        <f t="shared" ref="W3:W25" si="4">N3*27</f>
        <v>8.6981937695999996</v>
      </c>
    </row>
    <row r="4" spans="1:23" s="1" customFormat="1" x14ac:dyDescent="0.3">
      <c r="A4"/>
      <c r="B4">
        <v>3</v>
      </c>
      <c r="C4" s="19">
        <v>-0.34537329</v>
      </c>
      <c r="D4" s="11"/>
      <c r="E4" s="12">
        <v>-0.22297377600000001</v>
      </c>
      <c r="G4" s="1">
        <v>0.182719627</v>
      </c>
      <c r="I4" s="1" t="s">
        <v>27</v>
      </c>
      <c r="J4" s="1">
        <v>0.13624878100000001</v>
      </c>
      <c r="K4" s="12">
        <v>0.13965396799999999</v>
      </c>
      <c r="L4" s="1">
        <f>C28</f>
        <v>0.14343061400000001</v>
      </c>
      <c r="N4" s="1">
        <f t="shared" si="0"/>
        <v>3.7766460000000224E-3</v>
      </c>
      <c r="P4" s="1">
        <f t="shared" si="1"/>
        <v>7.1818329999999986E-3</v>
      </c>
      <c r="R4" s="1">
        <f t="shared" si="2"/>
        <v>3.4051869999999762E-3</v>
      </c>
      <c r="U4" s="1">
        <f t="shared" si="3"/>
        <v>9.8192796000000584</v>
      </c>
      <c r="W4" s="1">
        <f t="shared" si="4"/>
        <v>0.1019694420000006</v>
      </c>
    </row>
    <row r="5" spans="1:23" s="1" customFormat="1" x14ac:dyDescent="0.3">
      <c r="A5"/>
      <c r="B5">
        <v>4</v>
      </c>
      <c r="C5" s="19">
        <v>-0.29491346099999999</v>
      </c>
      <c r="D5" s="11"/>
      <c r="E5" s="12">
        <v>-0.44990539899999998</v>
      </c>
      <c r="G5" s="1">
        <v>-9.3339327900000005E-2</v>
      </c>
      <c r="I5" s="1" t="s">
        <v>39</v>
      </c>
      <c r="J5" s="3">
        <v>-0.15073273400000001</v>
      </c>
      <c r="K5" s="12">
        <v>0.15084191599999999</v>
      </c>
      <c r="L5" s="1">
        <f>C8</f>
        <v>0.210800821</v>
      </c>
      <c r="N5" s="1">
        <f t="shared" si="0"/>
        <v>5.9958905000000007E-2</v>
      </c>
      <c r="P5" s="6">
        <f t="shared" si="1"/>
        <v>0.36153355500000001</v>
      </c>
      <c r="R5" s="6">
        <f t="shared" si="2"/>
        <v>0.30157465</v>
      </c>
      <c r="U5" s="1">
        <f t="shared" si="3"/>
        <v>155.89315300000001</v>
      </c>
      <c r="W5" s="1">
        <f t="shared" si="4"/>
        <v>1.6188904350000002</v>
      </c>
    </row>
    <row r="6" spans="1:23" s="1" customFormat="1" x14ac:dyDescent="0.3">
      <c r="A6"/>
      <c r="B6">
        <v>5</v>
      </c>
      <c r="C6" s="19">
        <v>3.9369242899999997E-2</v>
      </c>
      <c r="D6" s="11"/>
      <c r="E6" s="12">
        <v>0.140549335</v>
      </c>
      <c r="G6" s="1">
        <v>0.178963553</v>
      </c>
      <c r="I6" s="1" t="s">
        <v>28</v>
      </c>
      <c r="J6" s="1">
        <v>-0.62806883800000002</v>
      </c>
      <c r="K6" s="12">
        <v>-0.32240310100000003</v>
      </c>
      <c r="L6" s="1">
        <f>C3</f>
        <v>-0.58424532399999995</v>
      </c>
      <c r="N6" s="6">
        <f t="shared" si="0"/>
        <v>-0.26184222299999993</v>
      </c>
      <c r="P6" s="1">
        <f t="shared" si="1"/>
        <v>4.3823514000000063E-2</v>
      </c>
      <c r="R6" s="6">
        <f t="shared" si="2"/>
        <v>0.30566573699999999</v>
      </c>
      <c r="U6" s="1">
        <f t="shared" si="3"/>
        <v>-680.78977979999979</v>
      </c>
      <c r="W6" s="1">
        <f t="shared" si="4"/>
        <v>-7.0697400209999977</v>
      </c>
    </row>
    <row r="7" spans="1:23" s="1" customFormat="1" x14ac:dyDescent="0.3">
      <c r="A7"/>
      <c r="B7">
        <v>6</v>
      </c>
      <c r="C7" s="19">
        <v>-6.61683514E-3</v>
      </c>
      <c r="D7" s="11"/>
      <c r="E7" s="12">
        <v>-3.1210252899999999E-2</v>
      </c>
      <c r="G7" s="1">
        <v>-0.23716135999999999</v>
      </c>
      <c r="I7" s="1" t="s">
        <v>29</v>
      </c>
      <c r="J7" s="1">
        <v>0.22605772399999999</v>
      </c>
      <c r="K7" s="12">
        <v>0.23653974</v>
      </c>
      <c r="L7" s="1">
        <f>C29</f>
        <v>0.243259419</v>
      </c>
      <c r="N7" s="1">
        <f t="shared" si="0"/>
        <v>6.7196790000000062E-3</v>
      </c>
      <c r="P7" s="1">
        <f t="shared" si="1"/>
        <v>1.7201695000000017E-2</v>
      </c>
      <c r="R7" s="1">
        <f t="shared" si="2"/>
        <v>1.0482016000000011E-2</v>
      </c>
      <c r="U7" s="1">
        <f t="shared" si="3"/>
        <v>17.471165400000015</v>
      </c>
      <c r="W7" s="1">
        <f t="shared" si="4"/>
        <v>0.18143133300000017</v>
      </c>
    </row>
    <row r="8" spans="1:23" s="1" customFormat="1" x14ac:dyDescent="0.3">
      <c r="A8"/>
      <c r="B8">
        <v>7</v>
      </c>
      <c r="C8" s="19">
        <v>0.210800821</v>
      </c>
      <c r="D8" s="11"/>
      <c r="E8" s="12">
        <v>0.15084191599999999</v>
      </c>
      <c r="G8" s="1">
        <v>-0.62806883800000002</v>
      </c>
      <c r="I8" s="1" t="s">
        <v>30</v>
      </c>
      <c r="J8" s="1">
        <v>0.161832849</v>
      </c>
      <c r="K8" s="12">
        <v>0.28292563199999998</v>
      </c>
      <c r="L8" s="1">
        <f>C19</f>
        <v>0.19402103500000001</v>
      </c>
      <c r="N8" s="1">
        <f t="shared" si="0"/>
        <v>-8.8904596999999974E-2</v>
      </c>
      <c r="P8" s="1">
        <f t="shared" si="1"/>
        <v>3.2188186000000008E-2</v>
      </c>
      <c r="R8" s="6">
        <f t="shared" si="2"/>
        <v>0.12109278299999998</v>
      </c>
      <c r="U8" s="1">
        <f t="shared" si="3"/>
        <v>-231.15195219999993</v>
      </c>
      <c r="W8" s="1">
        <f t="shared" si="4"/>
        <v>-2.4004241189999993</v>
      </c>
    </row>
    <row r="9" spans="1:23" s="1" customFormat="1" x14ac:dyDescent="0.3">
      <c r="A9" s="5" t="s">
        <v>10</v>
      </c>
      <c r="B9" s="5">
        <v>8</v>
      </c>
      <c r="C9" s="19">
        <v>-7.4151547499999998E-2</v>
      </c>
      <c r="D9" s="13" t="s">
        <v>10</v>
      </c>
      <c r="E9" s="14">
        <v>-0.116193612</v>
      </c>
      <c r="G9" s="1">
        <v>0.13624878100000001</v>
      </c>
      <c r="I9" s="1" t="s">
        <v>47</v>
      </c>
      <c r="J9" s="1">
        <v>-0.275546811</v>
      </c>
      <c r="K9" s="12">
        <v>-0.38563486699999999</v>
      </c>
      <c r="L9" s="1">
        <f>C20</f>
        <v>-0.30346810600000002</v>
      </c>
      <c r="N9" s="1">
        <f t="shared" si="0"/>
        <v>8.2166760999999977E-2</v>
      </c>
      <c r="P9" s="1">
        <f t="shared" si="1"/>
        <v>-2.7921295000000013E-2</v>
      </c>
      <c r="R9" s="6">
        <f t="shared" si="2"/>
        <v>-0.11008805599999999</v>
      </c>
      <c r="U9" s="1">
        <f t="shared" si="3"/>
        <v>213.63357859999994</v>
      </c>
      <c r="W9" s="1">
        <f t="shared" si="4"/>
        <v>2.2185025469999995</v>
      </c>
    </row>
    <row r="10" spans="1:23" s="1" customFormat="1" x14ac:dyDescent="0.3">
      <c r="A10"/>
      <c r="B10">
        <v>9</v>
      </c>
      <c r="C10" s="19">
        <v>-0.36153660100000001</v>
      </c>
      <c r="D10" s="11"/>
      <c r="E10" s="12">
        <v>-0.43021229999999999</v>
      </c>
      <c r="F10" s="3" t="s">
        <v>8</v>
      </c>
      <c r="G10" s="3">
        <v>-0.15073273400000001</v>
      </c>
      <c r="I10" s="1" t="s">
        <v>31</v>
      </c>
      <c r="J10" s="1">
        <v>2.6586028500000001E-2</v>
      </c>
      <c r="K10" s="12">
        <v>5.0801363500000002E-2</v>
      </c>
      <c r="L10" s="1">
        <f>C21</f>
        <v>5.39178913E-2</v>
      </c>
      <c r="N10" s="1">
        <f t="shared" si="0"/>
        <v>3.1165277999999977E-3</v>
      </c>
      <c r="P10" s="1">
        <f t="shared" si="1"/>
        <v>2.7331862799999999E-2</v>
      </c>
      <c r="R10" s="1">
        <f t="shared" si="2"/>
        <v>2.4215335000000001E-2</v>
      </c>
      <c r="U10" s="1">
        <f t="shared" si="3"/>
        <v>8.1029722799999941</v>
      </c>
      <c r="W10" s="1">
        <f t="shared" si="4"/>
        <v>8.4146250599999944E-2</v>
      </c>
    </row>
    <row r="11" spans="1:23" s="1" customFormat="1" x14ac:dyDescent="0.3">
      <c r="A11"/>
      <c r="B11">
        <v>10</v>
      </c>
      <c r="C11" s="19">
        <v>0.38248511499999999</v>
      </c>
      <c r="D11" s="11"/>
      <c r="E11" s="12">
        <v>-0.53526249199999998</v>
      </c>
      <c r="G11" s="1">
        <v>-0.170798745</v>
      </c>
      <c r="I11" s="1" t="s">
        <v>32</v>
      </c>
      <c r="J11" s="1">
        <v>5.4903874900000003E-2</v>
      </c>
      <c r="K11" s="12">
        <v>8.0875699300000006E-2</v>
      </c>
      <c r="L11" s="1">
        <f>C22</f>
        <v>8.6818857900000004E-2</v>
      </c>
      <c r="N11" s="1">
        <f t="shared" si="0"/>
        <v>5.9431585999999981E-3</v>
      </c>
      <c r="P11" s="1">
        <f t="shared" si="1"/>
        <v>3.1914983000000001E-2</v>
      </c>
      <c r="R11" s="1">
        <f t="shared" si="2"/>
        <v>2.5971824400000003E-2</v>
      </c>
      <c r="U11" s="1">
        <f t="shared" si="3"/>
        <v>15.452212359999995</v>
      </c>
      <c r="W11" s="1">
        <f t="shared" si="4"/>
        <v>0.16046528219999995</v>
      </c>
    </row>
    <row r="12" spans="1:23" s="1" customFormat="1" x14ac:dyDescent="0.3">
      <c r="A12"/>
      <c r="B12">
        <v>11</v>
      </c>
      <c r="C12" s="19">
        <v>-0.75526847100000005</v>
      </c>
      <c r="D12" s="11"/>
      <c r="E12" s="12">
        <v>-0.145435642</v>
      </c>
      <c r="G12" s="1">
        <v>0.157656713</v>
      </c>
      <c r="I12" s="1" t="s">
        <v>20</v>
      </c>
      <c r="J12" s="1">
        <v>-0.170798745</v>
      </c>
      <c r="K12" s="12">
        <v>-0.22297377600000001</v>
      </c>
      <c r="L12" s="1">
        <f>C4</f>
        <v>-0.34537329</v>
      </c>
      <c r="N12" s="17">
        <f t="shared" si="0"/>
        <v>-0.12239951399999999</v>
      </c>
      <c r="P12" s="6">
        <f t="shared" si="1"/>
        <v>-0.174574545</v>
      </c>
      <c r="R12" s="1">
        <f t="shared" si="2"/>
        <v>-5.2175031000000011E-2</v>
      </c>
      <c r="U12" s="1">
        <f t="shared" si="3"/>
        <v>-318.23873639999999</v>
      </c>
      <c r="W12" s="1">
        <f t="shared" si="4"/>
        <v>-3.3047868779999998</v>
      </c>
    </row>
    <row r="13" spans="1:23" s="1" customFormat="1" x14ac:dyDescent="0.3">
      <c r="A13"/>
      <c r="B13">
        <v>12</v>
      </c>
      <c r="C13" s="19">
        <v>-1.43437201E-2</v>
      </c>
      <c r="D13" s="11"/>
      <c r="E13" s="12">
        <v>-7.2189278400000001E-2</v>
      </c>
      <c r="F13" s="3" t="s">
        <v>10</v>
      </c>
      <c r="G13" s="3">
        <v>-9.9861153499999994E-2</v>
      </c>
      <c r="I13" s="1" t="s">
        <v>35</v>
      </c>
      <c r="J13" s="1">
        <v>0.19218174499999999</v>
      </c>
      <c r="K13" s="12">
        <v>0.19362299399999999</v>
      </c>
      <c r="L13" s="1">
        <f>C30</f>
        <v>0.193838285</v>
      </c>
      <c r="N13" s="1">
        <f t="shared" si="0"/>
        <v>2.1529100000000634E-4</v>
      </c>
      <c r="P13" s="1">
        <f t="shared" si="1"/>
        <v>1.6565400000000119E-3</v>
      </c>
      <c r="R13" s="1">
        <f t="shared" si="2"/>
        <v>1.4412490000000056E-3</v>
      </c>
      <c r="U13" s="1">
        <f t="shared" si="3"/>
        <v>0.55975660000001648</v>
      </c>
      <c r="W13" s="1">
        <f t="shared" si="4"/>
        <v>5.8128570000001711E-3</v>
      </c>
    </row>
    <row r="14" spans="1:23" s="1" customFormat="1" x14ac:dyDescent="0.3">
      <c r="A14"/>
      <c r="B14">
        <v>13</v>
      </c>
      <c r="C14" s="19">
        <v>-0.26136353899999998</v>
      </c>
      <c r="D14" s="11"/>
      <c r="E14" s="12">
        <v>0.12444794100000001</v>
      </c>
      <c r="G14" s="1">
        <v>0.1545552</v>
      </c>
      <c r="I14" s="1" t="s">
        <v>33</v>
      </c>
      <c r="J14" s="1">
        <v>-0.24529441900000001</v>
      </c>
      <c r="K14" s="12">
        <v>-0.19800274300000001</v>
      </c>
      <c r="L14" s="1">
        <f>C23</f>
        <v>-0.20315704300000001</v>
      </c>
      <c r="N14" s="1">
        <f t="shared" si="0"/>
        <v>-5.1543000000000005E-3</v>
      </c>
      <c r="P14" s="1">
        <f t="shared" si="1"/>
        <v>4.2137376000000004E-2</v>
      </c>
      <c r="R14" s="1">
        <f t="shared" si="2"/>
        <v>4.7291676000000005E-2</v>
      </c>
      <c r="U14" s="1">
        <f t="shared" si="3"/>
        <v>-13.401180000000002</v>
      </c>
      <c r="W14" s="1">
        <f t="shared" si="4"/>
        <v>-0.13916610000000001</v>
      </c>
    </row>
    <row r="15" spans="1:23" s="1" customFormat="1" x14ac:dyDescent="0.3">
      <c r="A15"/>
      <c r="B15">
        <v>14</v>
      </c>
      <c r="C15" s="19">
        <v>-0.63530499799999995</v>
      </c>
      <c r="D15" s="11"/>
      <c r="E15" s="12">
        <v>-0.41667251100000002</v>
      </c>
      <c r="G15" s="1">
        <v>0.166649881</v>
      </c>
      <c r="I15" s="1" t="s">
        <v>34</v>
      </c>
      <c r="J15" s="1">
        <v>0.25402095499999999</v>
      </c>
      <c r="K15" s="12">
        <v>0.24757130199999999</v>
      </c>
      <c r="L15" s="1">
        <f>C46</f>
        <v>0.249834787</v>
      </c>
      <c r="N15" s="1">
        <f t="shared" si="0"/>
        <v>2.2634850000000095E-3</v>
      </c>
      <c r="P15" s="1">
        <f t="shared" si="1"/>
        <v>-4.1861679999999901E-3</v>
      </c>
      <c r="R15" s="1">
        <f t="shared" si="2"/>
        <v>-6.4496529999999996E-3</v>
      </c>
      <c r="U15" s="1">
        <f t="shared" si="3"/>
        <v>5.8850610000000252</v>
      </c>
      <c r="W15" s="1">
        <f t="shared" si="4"/>
        <v>6.1114095000000257E-2</v>
      </c>
    </row>
    <row r="16" spans="1:23" s="1" customFormat="1" x14ac:dyDescent="0.3">
      <c r="A16"/>
      <c r="B16">
        <v>15</v>
      </c>
      <c r="C16" s="19">
        <v>-0.11386890700000001</v>
      </c>
      <c r="D16" s="11"/>
      <c r="E16" s="12">
        <v>-4.7181922100000002E-2</v>
      </c>
      <c r="G16" s="1">
        <v>0.22605772399999999</v>
      </c>
      <c r="I16" s="1" t="s">
        <v>36</v>
      </c>
      <c r="J16" s="1">
        <v>-9.3339327900000005E-2</v>
      </c>
      <c r="K16" s="12">
        <v>-0.44990539899999998</v>
      </c>
      <c r="L16" s="1">
        <f>C5</f>
        <v>-0.29491346099999999</v>
      </c>
      <c r="N16" s="6">
        <f t="shared" si="0"/>
        <v>0.154991938</v>
      </c>
      <c r="P16" s="6">
        <f t="shared" si="1"/>
        <v>-0.2015741331</v>
      </c>
      <c r="R16" s="6">
        <f t="shared" si="2"/>
        <v>-0.35656607109999999</v>
      </c>
      <c r="U16" s="1">
        <f t="shared" si="3"/>
        <v>402.97903880000001</v>
      </c>
      <c r="W16" s="1">
        <f t="shared" si="4"/>
        <v>4.1847823259999997</v>
      </c>
    </row>
    <row r="17" spans="1:23" s="1" customFormat="1" x14ac:dyDescent="0.3">
      <c r="A17"/>
      <c r="B17">
        <v>16</v>
      </c>
      <c r="C17" s="19">
        <v>6.0814939999999998E-2</v>
      </c>
      <c r="D17" s="11"/>
      <c r="E17" s="12">
        <v>-0.29955723899999998</v>
      </c>
      <c r="G17" s="1">
        <v>0.161832849</v>
      </c>
      <c r="I17" s="1" t="s">
        <v>37</v>
      </c>
      <c r="J17" s="1">
        <v>0.157656713</v>
      </c>
      <c r="K17" s="12">
        <v>0.19472551799999999</v>
      </c>
      <c r="L17" s="1">
        <f>C31</f>
        <v>0.19541766899999999</v>
      </c>
      <c r="N17" s="1">
        <f t="shared" si="0"/>
        <v>6.9215100000000196E-4</v>
      </c>
      <c r="P17" s="1">
        <f t="shared" si="1"/>
        <v>3.7760955999999984E-2</v>
      </c>
      <c r="R17" s="1">
        <f t="shared" si="2"/>
        <v>3.7068804999999982E-2</v>
      </c>
      <c r="U17" s="1">
        <f t="shared" si="3"/>
        <v>1.7995926000000051</v>
      </c>
      <c r="W17" s="1">
        <f t="shared" si="4"/>
        <v>1.8688077000000053E-2</v>
      </c>
    </row>
    <row r="18" spans="1:23" s="1" customFormat="1" x14ac:dyDescent="0.3">
      <c r="A18"/>
      <c r="B18">
        <v>17</v>
      </c>
      <c r="C18" s="19">
        <v>-0.14749938700000001</v>
      </c>
      <c r="D18" s="11"/>
      <c r="E18" s="12">
        <v>0.28292563199999998</v>
      </c>
      <c r="F18" s="3" t="s">
        <v>12</v>
      </c>
      <c r="G18" s="3">
        <v>-0.21759994399999999</v>
      </c>
      <c r="I18" s="1" t="s">
        <v>38</v>
      </c>
      <c r="J18" s="3">
        <v>-9.9861153499999994E-2</v>
      </c>
      <c r="K18" s="14">
        <v>-0.116193612</v>
      </c>
      <c r="L18" s="3">
        <f>C9</f>
        <v>-7.4151547499999998E-2</v>
      </c>
      <c r="N18" s="1">
        <f t="shared" si="0"/>
        <v>4.2042064500000004E-2</v>
      </c>
      <c r="P18" s="1">
        <f t="shared" si="1"/>
        <v>2.5709605999999996E-2</v>
      </c>
      <c r="R18" s="1">
        <f t="shared" si="2"/>
        <v>-1.6332458500000008E-2</v>
      </c>
      <c r="U18" s="1">
        <f t="shared" si="3"/>
        <v>109.30936770000001</v>
      </c>
      <c r="W18" s="1">
        <f t="shared" si="4"/>
        <v>1.1351357415000001</v>
      </c>
    </row>
    <row r="19" spans="1:23" s="1" customFormat="1" x14ac:dyDescent="0.3">
      <c r="A19"/>
      <c r="B19">
        <v>18</v>
      </c>
      <c r="C19" s="19">
        <v>0.19402103500000001</v>
      </c>
      <c r="D19" s="11"/>
      <c r="E19" s="12">
        <v>-0.38563486699999999</v>
      </c>
      <c r="G19" s="1">
        <v>0.19218174499999999</v>
      </c>
      <c r="I19" s="1" t="s">
        <v>40</v>
      </c>
      <c r="J19" s="1">
        <v>-0.29707573399999998</v>
      </c>
      <c r="K19" s="12">
        <v>0.140549335</v>
      </c>
      <c r="L19" s="1">
        <f>C6</f>
        <v>3.9369242899999997E-2</v>
      </c>
      <c r="N19" s="6">
        <f t="shared" si="0"/>
        <v>-0.10118009210000001</v>
      </c>
      <c r="P19" s="6">
        <f t="shared" si="1"/>
        <v>0.33644497689999997</v>
      </c>
      <c r="R19" s="6">
        <f t="shared" si="2"/>
        <v>0.43762506899999998</v>
      </c>
      <c r="U19" s="1">
        <f t="shared" si="3"/>
        <v>-263.06823946000003</v>
      </c>
      <c r="W19" s="1">
        <f t="shared" si="4"/>
        <v>-2.7318624867000003</v>
      </c>
    </row>
    <row r="20" spans="1:23" s="1" customFormat="1" x14ac:dyDescent="0.3">
      <c r="A20"/>
      <c r="B20">
        <v>19</v>
      </c>
      <c r="C20" s="19">
        <v>-0.30346810600000002</v>
      </c>
      <c r="D20" s="11"/>
      <c r="E20" s="12">
        <v>5.0801363500000002E-2</v>
      </c>
      <c r="G20" s="1">
        <v>-0.24529441900000001</v>
      </c>
      <c r="I20" s="1" t="s">
        <v>41</v>
      </c>
      <c r="J20" s="1">
        <v>0.178963553</v>
      </c>
      <c r="K20" s="12">
        <v>0.16437617400000001</v>
      </c>
      <c r="L20" s="1">
        <f>C32</f>
        <v>0.16634273999999999</v>
      </c>
      <c r="N20" s="1">
        <f t="shared" si="0"/>
        <v>1.9665659999999752E-3</v>
      </c>
      <c r="P20" s="1">
        <f t="shared" si="1"/>
        <v>-1.2620813000000008E-2</v>
      </c>
      <c r="R20" s="1">
        <f t="shared" si="2"/>
        <v>-1.4587378999999984E-2</v>
      </c>
      <c r="U20" s="1">
        <f t="shared" si="3"/>
        <v>5.1130715999999357</v>
      </c>
      <c r="W20" s="1">
        <f t="shared" si="4"/>
        <v>5.309728199999933E-2</v>
      </c>
    </row>
    <row r="21" spans="1:23" s="1" customFormat="1" x14ac:dyDescent="0.3">
      <c r="A21"/>
      <c r="B21">
        <v>20</v>
      </c>
      <c r="C21" s="19">
        <v>5.39178913E-2</v>
      </c>
      <c r="D21" s="11"/>
      <c r="E21" s="12">
        <v>8.0875699300000006E-2</v>
      </c>
      <c r="F21" s="3" t="s">
        <v>13</v>
      </c>
      <c r="G21" s="3">
        <v>-0.21678651500000001</v>
      </c>
      <c r="I21" s="1" t="s">
        <v>19</v>
      </c>
      <c r="J21" s="1">
        <v>-0.23716135999999999</v>
      </c>
      <c r="K21" s="12">
        <v>-0.43021229999999999</v>
      </c>
      <c r="L21" s="1">
        <f>C10</f>
        <v>-0.36153660100000001</v>
      </c>
      <c r="N21" s="1">
        <f t="shared" si="0"/>
        <v>6.8675698999999979E-2</v>
      </c>
      <c r="P21" s="6">
        <f t="shared" si="1"/>
        <v>-0.12437524100000003</v>
      </c>
      <c r="R21" s="6">
        <f t="shared" si="2"/>
        <v>-0.19305094</v>
      </c>
      <c r="U21" s="1">
        <f t="shared" si="3"/>
        <v>178.55681739999994</v>
      </c>
      <c r="W21" s="1">
        <f t="shared" si="4"/>
        <v>1.8542438729999995</v>
      </c>
    </row>
    <row r="22" spans="1:23" s="1" customFormat="1" x14ac:dyDescent="0.3">
      <c r="A22"/>
      <c r="B22">
        <v>21</v>
      </c>
      <c r="C22" s="19">
        <v>8.6818857900000004E-2</v>
      </c>
      <c r="D22" s="11"/>
      <c r="E22" s="12">
        <v>-0.19800274300000001</v>
      </c>
      <c r="G22" s="1">
        <v>-0.275546811</v>
      </c>
      <c r="I22" s="1" t="s">
        <v>42</v>
      </c>
      <c r="J22" s="1">
        <v>0.1545552</v>
      </c>
      <c r="K22" s="12">
        <v>0.16627735599999999</v>
      </c>
      <c r="L22" s="1">
        <f>C33</f>
        <v>0.17550520999999999</v>
      </c>
      <c r="N22" s="1">
        <f t="shared" si="0"/>
        <v>9.2278540000000076E-3</v>
      </c>
      <c r="P22" s="1">
        <f t="shared" si="1"/>
        <v>2.0950009999999991E-2</v>
      </c>
      <c r="R22" s="1">
        <f t="shared" si="2"/>
        <v>1.1722155999999984E-2</v>
      </c>
      <c r="U22" s="1">
        <f t="shared" si="3"/>
        <v>23.992420400000018</v>
      </c>
      <c r="W22" s="1">
        <f t="shared" si="4"/>
        <v>0.2491520580000002</v>
      </c>
    </row>
    <row r="23" spans="1:23" s="1" customFormat="1" x14ac:dyDescent="0.3">
      <c r="A23"/>
      <c r="B23">
        <v>22</v>
      </c>
      <c r="C23" s="19">
        <v>-0.20315704300000001</v>
      </c>
      <c r="D23" s="11"/>
      <c r="E23" s="12">
        <v>-0.25866224599999998</v>
      </c>
      <c r="F23" s="3" t="s">
        <v>9</v>
      </c>
      <c r="G23" s="3">
        <v>0.166247752</v>
      </c>
      <c r="I23" s="1" t="s">
        <v>43</v>
      </c>
      <c r="J23" s="1">
        <v>0.166649881</v>
      </c>
      <c r="K23" s="12">
        <v>0.163145818</v>
      </c>
      <c r="L23" s="1">
        <f>C34</f>
        <v>0.158383623</v>
      </c>
      <c r="N23" s="1">
        <f t="shared" si="0"/>
        <v>-4.7621949999999968E-3</v>
      </c>
      <c r="P23" s="1">
        <f t="shared" si="1"/>
        <v>-8.2662579999999986E-3</v>
      </c>
      <c r="R23" s="1">
        <f t="shared" si="2"/>
        <v>-3.5040630000000017E-3</v>
      </c>
      <c r="U23" s="1">
        <f t="shared" si="3"/>
        <v>-12.381706999999992</v>
      </c>
      <c r="W23" s="1">
        <f t="shared" si="4"/>
        <v>-0.12857926499999991</v>
      </c>
    </row>
    <row r="24" spans="1:23" s="1" customFormat="1" x14ac:dyDescent="0.3">
      <c r="A24"/>
      <c r="B24">
        <v>23</v>
      </c>
      <c r="C24" s="19">
        <v>-0.25653790900000001</v>
      </c>
      <c r="D24" s="11"/>
      <c r="E24" s="12">
        <v>-0.23148723399999999</v>
      </c>
      <c r="F24" s="3" t="s">
        <v>9</v>
      </c>
      <c r="G24" s="3">
        <v>0.15260230699999999</v>
      </c>
      <c r="I24" s="1" t="s">
        <v>44</v>
      </c>
      <c r="J24" s="1">
        <v>-0.306314541</v>
      </c>
      <c r="K24" s="12">
        <v>-0.25866224599999998</v>
      </c>
      <c r="L24" s="1">
        <f>C24</f>
        <v>-0.25653790900000001</v>
      </c>
      <c r="N24" s="1">
        <f t="shared" si="0"/>
        <v>2.1243369999999762E-3</v>
      </c>
      <c r="P24" s="1">
        <f t="shared" si="1"/>
        <v>4.9776631999999987E-2</v>
      </c>
      <c r="R24" s="1">
        <f t="shared" si="2"/>
        <v>4.7652295000000011E-2</v>
      </c>
      <c r="U24" s="1">
        <f t="shared" si="3"/>
        <v>5.5232761999999376</v>
      </c>
      <c r="W24" s="1">
        <f t="shared" si="4"/>
        <v>5.7357098999999356E-2</v>
      </c>
    </row>
    <row r="25" spans="1:23" s="1" customFormat="1" x14ac:dyDescent="0.3">
      <c r="A25"/>
      <c r="B25">
        <v>24</v>
      </c>
      <c r="C25" s="19">
        <v>-0.29403938899999998</v>
      </c>
      <c r="D25" s="11"/>
      <c r="E25" s="12">
        <v>-0.21891544700000001</v>
      </c>
      <c r="F25" s="3" t="s">
        <v>9</v>
      </c>
      <c r="G25" s="3">
        <v>0.13464004800000001</v>
      </c>
      <c r="I25" s="1" t="s">
        <v>45</v>
      </c>
      <c r="J25" s="1">
        <v>0.24561913299999999</v>
      </c>
      <c r="K25" s="12">
        <v>0.26000763900000001</v>
      </c>
      <c r="L25" s="1">
        <f>C49</f>
        <v>0.256924702</v>
      </c>
      <c r="N25" s="1">
        <f t="shared" si="0"/>
        <v>-3.0829370000000078E-3</v>
      </c>
      <c r="P25" s="1">
        <f t="shared" si="1"/>
        <v>1.1305569000000015E-2</v>
      </c>
      <c r="R25" s="1">
        <f t="shared" si="2"/>
        <v>1.4388506000000023E-2</v>
      </c>
      <c r="U25" s="1">
        <f t="shared" si="3"/>
        <v>-8.0156362000000208</v>
      </c>
      <c r="W25" s="1">
        <f t="shared" si="4"/>
        <v>-8.3239299000000211E-2</v>
      </c>
    </row>
    <row r="26" spans="1:23" s="1" customFormat="1" x14ac:dyDescent="0.3">
      <c r="A26"/>
      <c r="B26">
        <v>25</v>
      </c>
      <c r="C26" s="19">
        <v>-0.179136723</v>
      </c>
      <c r="D26" s="11"/>
      <c r="E26" s="12">
        <v>-0.25174112599999998</v>
      </c>
      <c r="G26" s="1">
        <v>0.25402095499999999</v>
      </c>
    </row>
    <row r="27" spans="1:23" s="1" customFormat="1" x14ac:dyDescent="0.3">
      <c r="A27"/>
      <c r="B27">
        <v>26</v>
      </c>
      <c r="C27" s="19">
        <v>-0.31427718300000002</v>
      </c>
      <c r="D27" s="11"/>
      <c r="E27" s="12">
        <v>0.13965396799999999</v>
      </c>
      <c r="F27" s="3" t="s">
        <v>11</v>
      </c>
      <c r="G27" s="3">
        <v>0.12409192300000001</v>
      </c>
    </row>
    <row r="28" spans="1:23" s="1" customFormat="1" x14ac:dyDescent="0.3">
      <c r="A28"/>
      <c r="B28">
        <v>27</v>
      </c>
      <c r="C28" s="19">
        <v>0.14343061400000001</v>
      </c>
      <c r="D28" s="11"/>
      <c r="E28" s="12">
        <v>0.23653974</v>
      </c>
      <c r="F28" s="3" t="s">
        <v>11</v>
      </c>
      <c r="G28" s="3">
        <v>0.147215442</v>
      </c>
    </row>
    <row r="29" spans="1:23" s="1" customFormat="1" x14ac:dyDescent="0.3">
      <c r="A29"/>
      <c r="B29">
        <v>28</v>
      </c>
      <c r="C29" s="19">
        <v>0.243259419</v>
      </c>
      <c r="D29" s="11"/>
      <c r="E29" s="12">
        <v>0.19362299399999999</v>
      </c>
      <c r="F29" s="3" t="s">
        <v>11</v>
      </c>
      <c r="G29" s="3">
        <v>0.16437202200000001</v>
      </c>
    </row>
    <row r="30" spans="1:23" s="1" customFormat="1" x14ac:dyDescent="0.3">
      <c r="A30"/>
      <c r="B30">
        <v>29</v>
      </c>
      <c r="C30" s="19">
        <v>0.193838285</v>
      </c>
      <c r="D30" s="11"/>
      <c r="E30" s="12">
        <v>0.19472551799999999</v>
      </c>
      <c r="G30" s="1">
        <v>5.4903874900000003E-2</v>
      </c>
    </row>
    <row r="31" spans="1:23" s="1" customFormat="1" x14ac:dyDescent="0.3">
      <c r="A31"/>
      <c r="B31">
        <v>30</v>
      </c>
      <c r="C31" s="19">
        <v>0.19541766899999999</v>
      </c>
      <c r="D31" s="11"/>
      <c r="E31" s="12">
        <v>0.16437617400000001</v>
      </c>
      <c r="G31" s="1">
        <v>2.6586028500000001E-2</v>
      </c>
    </row>
    <row r="32" spans="1:23" s="1" customFormat="1" x14ac:dyDescent="0.3">
      <c r="A32"/>
      <c r="B32">
        <v>31</v>
      </c>
      <c r="C32" s="19">
        <v>0.16634273999999999</v>
      </c>
      <c r="D32" s="11"/>
      <c r="E32" s="12">
        <v>0.16627735599999999</v>
      </c>
      <c r="G32" s="1">
        <v>-0.306314541</v>
      </c>
    </row>
    <row r="33" spans="1:7" s="1" customFormat="1" x14ac:dyDescent="0.3">
      <c r="A33"/>
      <c r="B33">
        <v>32</v>
      </c>
      <c r="C33" s="19">
        <v>0.17550520999999999</v>
      </c>
      <c r="D33" s="11"/>
      <c r="E33" s="12">
        <v>0.163145818</v>
      </c>
      <c r="G33" s="1">
        <v>0.24561913299999999</v>
      </c>
    </row>
    <row r="34" spans="1:7" s="1" customFormat="1" x14ac:dyDescent="0.3">
      <c r="A34"/>
      <c r="B34">
        <v>33</v>
      </c>
      <c r="C34" s="19">
        <v>0.158383623</v>
      </c>
      <c r="D34" s="11"/>
      <c r="E34" s="12">
        <v>0.18335869399999999</v>
      </c>
    </row>
    <row r="35" spans="1:7" s="1" customFormat="1" x14ac:dyDescent="0.3">
      <c r="A35"/>
      <c r="B35">
        <v>34</v>
      </c>
      <c r="C35" s="19">
        <v>0.158494525</v>
      </c>
      <c r="D35" s="11"/>
      <c r="E35" s="12">
        <v>0.17853923399999999</v>
      </c>
    </row>
    <row r="36" spans="1:7" s="1" customFormat="1" x14ac:dyDescent="0.3">
      <c r="A36"/>
      <c r="B36">
        <v>35</v>
      </c>
      <c r="C36" s="19">
        <v>0.194551108</v>
      </c>
      <c r="D36" s="11"/>
      <c r="E36" s="12">
        <v>0.192258345</v>
      </c>
    </row>
    <row r="37" spans="1:7" s="1" customFormat="1" x14ac:dyDescent="0.3">
      <c r="A37"/>
      <c r="B37">
        <v>36</v>
      </c>
      <c r="C37" s="19">
        <v>0.20095164400000001</v>
      </c>
      <c r="D37" s="11"/>
      <c r="E37" s="12">
        <v>0.16583831199999999</v>
      </c>
    </row>
    <row r="38" spans="1:7" s="1" customFormat="1" x14ac:dyDescent="0.3">
      <c r="A38"/>
      <c r="B38">
        <v>37</v>
      </c>
      <c r="C38" s="19">
        <v>0.17066236500000001</v>
      </c>
      <c r="D38" s="11"/>
      <c r="E38" s="12">
        <v>0.17705109999999999</v>
      </c>
    </row>
    <row r="39" spans="1:7" s="1" customFormat="1" x14ac:dyDescent="0.3">
      <c r="A39"/>
      <c r="B39">
        <v>38</v>
      </c>
      <c r="C39" s="19">
        <v>0.17116569600000001</v>
      </c>
      <c r="D39" s="11"/>
      <c r="E39" s="12">
        <v>0.17412111</v>
      </c>
    </row>
    <row r="40" spans="1:7" s="1" customFormat="1" x14ac:dyDescent="0.3">
      <c r="A40"/>
      <c r="B40">
        <v>39</v>
      </c>
      <c r="C40" s="19">
        <v>0.17698951800000001</v>
      </c>
      <c r="D40" s="11"/>
      <c r="E40" s="12">
        <v>0.15908138599999999</v>
      </c>
    </row>
    <row r="41" spans="1:7" s="1" customFormat="1" x14ac:dyDescent="0.3">
      <c r="A41"/>
      <c r="B41">
        <v>40</v>
      </c>
      <c r="C41" s="19">
        <v>0.177799243</v>
      </c>
      <c r="D41" s="13" t="s">
        <v>13</v>
      </c>
      <c r="E41" s="14">
        <v>-0.23053628300000001</v>
      </c>
    </row>
    <row r="42" spans="1:7" s="1" customFormat="1" x14ac:dyDescent="0.3">
      <c r="A42" s="5" t="s">
        <v>13</v>
      </c>
      <c r="B42" s="5">
        <v>41</v>
      </c>
      <c r="C42" s="19">
        <v>-0.22761200600000001</v>
      </c>
      <c r="D42" s="13" t="s">
        <v>11</v>
      </c>
      <c r="E42" s="14">
        <v>0.143911285</v>
      </c>
    </row>
    <row r="43" spans="1:7" s="1" customFormat="1" x14ac:dyDescent="0.3">
      <c r="A43" s="5" t="s">
        <v>11</v>
      </c>
      <c r="B43" s="5">
        <v>42</v>
      </c>
      <c r="C43" s="19">
        <v>0.16011376699999999</v>
      </c>
      <c r="D43" s="13" t="s">
        <v>11</v>
      </c>
      <c r="E43" s="14">
        <v>0.15625208600000001</v>
      </c>
    </row>
    <row r="44" spans="1:7" s="1" customFormat="1" x14ac:dyDescent="0.3">
      <c r="A44" s="5" t="s">
        <v>11</v>
      </c>
      <c r="B44" s="5">
        <v>43</v>
      </c>
      <c r="C44" s="19">
        <v>0.13954810100000001</v>
      </c>
      <c r="D44" s="13" t="s">
        <v>11</v>
      </c>
      <c r="E44" s="14">
        <v>0.14995598600000001</v>
      </c>
    </row>
    <row r="45" spans="1:7" s="1" customFormat="1" x14ac:dyDescent="0.3">
      <c r="A45" s="5" t="s">
        <v>11</v>
      </c>
      <c r="B45" s="5">
        <v>44</v>
      </c>
      <c r="C45" s="19">
        <v>0.14429718</v>
      </c>
      <c r="D45" s="11"/>
      <c r="E45" s="12">
        <v>0.24757130199999999</v>
      </c>
    </row>
    <row r="46" spans="1:7" s="1" customFormat="1" x14ac:dyDescent="0.3">
      <c r="A46"/>
      <c r="B46">
        <v>45</v>
      </c>
      <c r="C46" s="19">
        <v>0.249834787</v>
      </c>
      <c r="D46" s="11"/>
      <c r="E46" s="12">
        <v>0.24751794399999999</v>
      </c>
    </row>
    <row r="47" spans="1:7" s="1" customFormat="1" x14ac:dyDescent="0.3">
      <c r="A47"/>
      <c r="B47">
        <v>46</v>
      </c>
      <c r="C47" s="19">
        <v>0.242038802</v>
      </c>
      <c r="D47" s="11"/>
      <c r="E47" s="12">
        <v>0.256677816</v>
      </c>
    </row>
    <row r="48" spans="1:7" s="1" customFormat="1" x14ac:dyDescent="0.3">
      <c r="A48"/>
      <c r="B48">
        <v>47</v>
      </c>
      <c r="C48" s="19">
        <v>0.26328311100000001</v>
      </c>
      <c r="D48" s="11"/>
      <c r="E48" s="12">
        <v>0.26000763900000001</v>
      </c>
    </row>
    <row r="49" spans="1:5" s="1" customFormat="1" x14ac:dyDescent="0.3">
      <c r="A49"/>
      <c r="B49">
        <v>48</v>
      </c>
      <c r="C49" s="19">
        <v>0.256924702</v>
      </c>
      <c r="D49" s="11"/>
      <c r="E49" s="12">
        <v>0.25514181200000002</v>
      </c>
    </row>
    <row r="50" spans="1:5" s="1" customFormat="1" x14ac:dyDescent="0.3">
      <c r="A50"/>
      <c r="B50">
        <v>49</v>
      </c>
      <c r="C50" s="19">
        <v>0.36079757200000001</v>
      </c>
      <c r="D50" s="13" t="s">
        <v>12</v>
      </c>
      <c r="E50" s="14">
        <v>-0.204439755</v>
      </c>
    </row>
    <row r="51" spans="1:5" s="1" customFormat="1" x14ac:dyDescent="0.3">
      <c r="A51"/>
      <c r="B51">
        <v>50</v>
      </c>
      <c r="C51" s="19">
        <v>0.28452535000000001</v>
      </c>
      <c r="D51" s="13" t="s">
        <v>9</v>
      </c>
      <c r="E51" s="14">
        <v>0.159252962</v>
      </c>
    </row>
    <row r="52" spans="1:5" s="1" customFormat="1" x14ac:dyDescent="0.3">
      <c r="A52"/>
      <c r="B52">
        <v>51</v>
      </c>
      <c r="C52" s="19">
        <v>-0.65334129600000002</v>
      </c>
      <c r="D52" s="13" t="s">
        <v>9</v>
      </c>
      <c r="E52" s="14">
        <v>0.13178062600000001</v>
      </c>
    </row>
    <row r="53" spans="1:5" s="1" customFormat="1" x14ac:dyDescent="0.3">
      <c r="A53"/>
      <c r="B53">
        <v>52</v>
      </c>
      <c r="C53" s="19">
        <v>-0.31710922899999999</v>
      </c>
      <c r="D53" s="13" t="s">
        <v>9</v>
      </c>
      <c r="E53" s="14">
        <v>0.17085028299999999</v>
      </c>
    </row>
    <row r="54" spans="1:5" s="1" customFormat="1" x14ac:dyDescent="0.3">
      <c r="A54"/>
      <c r="B54">
        <v>53</v>
      </c>
      <c r="C54" s="19">
        <v>-4.3749256700000003E-2</v>
      </c>
      <c r="D54" s="13" t="s">
        <v>8</v>
      </c>
      <c r="E54" s="14">
        <v>-0.12451931500000001</v>
      </c>
    </row>
    <row r="55" spans="1:5" s="1" customFormat="1" x14ac:dyDescent="0.3">
      <c r="A55"/>
      <c r="B55">
        <v>54</v>
      </c>
      <c r="C55" s="19">
        <v>-0.24925507499999999</v>
      </c>
      <c r="D55" s="11"/>
      <c r="E55" s="12"/>
    </row>
    <row r="56" spans="1:5" s="1" customFormat="1" x14ac:dyDescent="0.3">
      <c r="A56"/>
      <c r="B56">
        <v>55</v>
      </c>
      <c r="C56" s="19">
        <v>-0.106333329</v>
      </c>
      <c r="D56" s="11"/>
      <c r="E56" s="12"/>
    </row>
    <row r="57" spans="1:5" s="1" customFormat="1" x14ac:dyDescent="0.3">
      <c r="A57"/>
      <c r="B57">
        <v>56</v>
      </c>
      <c r="C57" s="19">
        <v>-0.34053502699999999</v>
      </c>
      <c r="D57" s="11"/>
      <c r="E57" s="12"/>
    </row>
    <row r="58" spans="1:5" s="1" customFormat="1" x14ac:dyDescent="0.3">
      <c r="A58"/>
      <c r="B58">
        <v>57</v>
      </c>
      <c r="C58" s="19">
        <v>0.252631626</v>
      </c>
      <c r="D58" s="11"/>
      <c r="E58" s="12"/>
    </row>
    <row r="59" spans="1:5" s="1" customFormat="1" x14ac:dyDescent="0.3">
      <c r="A59"/>
      <c r="B59">
        <v>58</v>
      </c>
      <c r="C59" s="19">
        <v>-0.31879067100000003</v>
      </c>
      <c r="D59" s="11"/>
      <c r="E59" s="12"/>
    </row>
    <row r="60" spans="1:5" s="1" customFormat="1" x14ac:dyDescent="0.3">
      <c r="A60"/>
      <c r="B60">
        <v>59</v>
      </c>
      <c r="C60" s="19">
        <v>3.4684266599999999E-2</v>
      </c>
      <c r="D60" s="11"/>
      <c r="E60" s="12"/>
    </row>
    <row r="61" spans="1:5" s="1" customFormat="1" x14ac:dyDescent="0.3">
      <c r="A61"/>
      <c r="B61">
        <v>60</v>
      </c>
      <c r="C61" s="19">
        <v>2.7124867099999998E-2</v>
      </c>
      <c r="D61" s="11"/>
      <c r="E61" s="12"/>
    </row>
    <row r="62" spans="1:5" s="1" customFormat="1" x14ac:dyDescent="0.3">
      <c r="A62"/>
      <c r="B62">
        <v>61</v>
      </c>
      <c r="C62" s="19">
        <v>-0.24172337199999999</v>
      </c>
      <c r="D62" s="11"/>
      <c r="E62" s="12"/>
    </row>
    <row r="63" spans="1:5" s="1" customFormat="1" x14ac:dyDescent="0.3">
      <c r="A63"/>
      <c r="B63">
        <v>62</v>
      </c>
      <c r="C63" s="19">
        <v>-0.33327378400000002</v>
      </c>
      <c r="D63" s="11"/>
      <c r="E63" s="12"/>
    </row>
    <row r="64" spans="1:5" s="1" customFormat="1" x14ac:dyDescent="0.3">
      <c r="A64"/>
      <c r="B64">
        <v>63</v>
      </c>
      <c r="C64" s="19">
        <v>0.13772346299999999</v>
      </c>
      <c r="D64" s="11"/>
      <c r="E64" s="12"/>
    </row>
    <row r="65" spans="1:5" s="1" customFormat="1" x14ac:dyDescent="0.3">
      <c r="A65"/>
      <c r="B65">
        <v>64</v>
      </c>
      <c r="C65" s="19">
        <v>0.228972024</v>
      </c>
      <c r="D65" s="11"/>
      <c r="E65" s="12"/>
    </row>
    <row r="66" spans="1:5" s="1" customFormat="1" x14ac:dyDescent="0.3">
      <c r="A66"/>
      <c r="B66">
        <v>65</v>
      </c>
      <c r="C66" s="19">
        <v>0.193089855</v>
      </c>
      <c r="D66" s="11"/>
      <c r="E66" s="12"/>
    </row>
    <row r="67" spans="1:5" s="1" customFormat="1" x14ac:dyDescent="0.3">
      <c r="A67"/>
      <c r="B67">
        <v>66</v>
      </c>
      <c r="C67" s="19">
        <v>0.17371103500000001</v>
      </c>
      <c r="D67" s="11"/>
      <c r="E67" s="12"/>
    </row>
    <row r="68" spans="1:5" s="1" customFormat="1" x14ac:dyDescent="0.3">
      <c r="A68"/>
      <c r="B68">
        <v>67</v>
      </c>
      <c r="C68" s="19">
        <v>0.17586169800000001</v>
      </c>
      <c r="D68" s="11"/>
      <c r="E68" s="12"/>
    </row>
    <row r="69" spans="1:5" s="1" customFormat="1" x14ac:dyDescent="0.3">
      <c r="A69"/>
      <c r="B69">
        <v>68</v>
      </c>
      <c r="C69" s="19">
        <v>0.17112282700000001</v>
      </c>
      <c r="D69" s="11"/>
      <c r="E69" s="12"/>
    </row>
    <row r="70" spans="1:5" s="1" customFormat="1" x14ac:dyDescent="0.3">
      <c r="A70"/>
      <c r="B70">
        <v>69</v>
      </c>
      <c r="C70" s="19">
        <v>0.16830298399999999</v>
      </c>
      <c r="D70" s="11"/>
      <c r="E70" s="12"/>
    </row>
    <row r="71" spans="1:5" s="1" customFormat="1" x14ac:dyDescent="0.3">
      <c r="A71"/>
      <c r="B71">
        <v>70</v>
      </c>
      <c r="C71" s="19">
        <v>0.36118170900000002</v>
      </c>
      <c r="D71" s="11"/>
      <c r="E71" s="12"/>
    </row>
    <row r="72" spans="1:5" s="1" customFormat="1" x14ac:dyDescent="0.3">
      <c r="A72"/>
      <c r="B72">
        <v>71</v>
      </c>
      <c r="C72" s="19">
        <v>0.272234747</v>
      </c>
      <c r="D72" s="11"/>
      <c r="E72" s="12"/>
    </row>
    <row r="73" spans="1:5" s="3" customFormat="1" x14ac:dyDescent="0.3">
      <c r="A73" s="18" t="s">
        <v>8</v>
      </c>
      <c r="B73" s="5">
        <v>72</v>
      </c>
      <c r="C73" s="19">
        <v>-0.13493445700000001</v>
      </c>
      <c r="D73" s="13"/>
      <c r="E73" s="14"/>
    </row>
    <row r="74" spans="1:5" s="3" customFormat="1" x14ac:dyDescent="0.3">
      <c r="A74" s="5" t="s">
        <v>9</v>
      </c>
      <c r="B74" s="5">
        <v>73</v>
      </c>
      <c r="C74" s="19">
        <v>-0.204694391</v>
      </c>
      <c r="D74" s="13"/>
      <c r="E74" s="14"/>
    </row>
    <row r="75" spans="1:5" s="3" customFormat="1" x14ac:dyDescent="0.3">
      <c r="A75" s="5" t="s">
        <v>9</v>
      </c>
      <c r="B75" s="5">
        <v>74</v>
      </c>
      <c r="C75" s="19">
        <v>0.15215841099999999</v>
      </c>
      <c r="D75" s="13"/>
      <c r="E75" s="14"/>
    </row>
    <row r="76" spans="1:5" s="3" customFormat="1" x14ac:dyDescent="0.3">
      <c r="A76" s="5" t="s">
        <v>9</v>
      </c>
      <c r="B76" s="5">
        <v>75</v>
      </c>
      <c r="C76" s="19">
        <v>0.156690092</v>
      </c>
      <c r="D76" s="13"/>
      <c r="E76" s="14"/>
    </row>
    <row r="77" spans="1:5" s="3" customFormat="1" ht="15" thickBot="1" x14ac:dyDescent="0.35">
      <c r="A77" s="18" t="s">
        <v>12</v>
      </c>
      <c r="B77" s="5">
        <v>76</v>
      </c>
      <c r="C77" s="19">
        <v>0.13724129800000001</v>
      </c>
      <c r="D77" s="15"/>
      <c r="E77" s="16"/>
    </row>
    <row r="78" spans="1:5" x14ac:dyDescent="0.3">
      <c r="C78" t="s">
        <v>66</v>
      </c>
    </row>
    <row r="79" spans="1:5" x14ac:dyDescent="0.3">
      <c r="A79" s="18" t="s">
        <v>65</v>
      </c>
    </row>
    <row r="1048576" spans="4:4" x14ac:dyDescent="0.3">
      <c r="D1048576" s="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48EE-0E69-4109-93B6-40B661D5C67D}">
  <dimension ref="A1:F25"/>
  <sheetViews>
    <sheetView tabSelected="1" workbookViewId="0">
      <selection activeCell="F2" sqref="F2:F25"/>
    </sheetView>
  </sheetViews>
  <sheetFormatPr defaultRowHeight="14.4" x14ac:dyDescent="0.3"/>
  <sheetData>
    <row r="1" spans="1:6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">
      <c r="A2" s="1" t="s">
        <v>25</v>
      </c>
      <c r="B2" s="1">
        <v>-8.8585433899999996E-2</v>
      </c>
      <c r="C2" s="12">
        <v>-3.1210252899999999E-2</v>
      </c>
      <c r="D2" s="1">
        <v>-6.61683514E-3</v>
      </c>
      <c r="E2" s="1">
        <v>2.459341776E-2</v>
      </c>
      <c r="F2" s="1">
        <v>8.1968598759999997E-2</v>
      </c>
    </row>
    <row r="3" spans="1:6" x14ac:dyDescent="0.3">
      <c r="A3" s="1" t="s">
        <v>26</v>
      </c>
      <c r="B3" s="1">
        <v>0.182719627</v>
      </c>
      <c r="C3" s="12">
        <v>-0.30481483399999998</v>
      </c>
      <c r="D3" s="1">
        <v>1.73404908E-2</v>
      </c>
      <c r="E3" s="6">
        <v>0.32215532479999998</v>
      </c>
      <c r="F3" s="6">
        <v>-0.1653791362</v>
      </c>
    </row>
    <row r="4" spans="1:6" x14ac:dyDescent="0.3">
      <c r="A4" s="1" t="s">
        <v>27</v>
      </c>
      <c r="B4" s="1">
        <v>0.13624878100000001</v>
      </c>
      <c r="C4" s="12">
        <v>0.13965396799999999</v>
      </c>
      <c r="D4" s="1">
        <v>0.14343061400000001</v>
      </c>
      <c r="E4" s="1">
        <v>3.7766460000000224E-3</v>
      </c>
      <c r="F4" s="1">
        <v>7.1818329999999986E-3</v>
      </c>
    </row>
    <row r="5" spans="1:6" x14ac:dyDescent="0.3">
      <c r="A5" s="1" t="s">
        <v>39</v>
      </c>
      <c r="B5" s="3">
        <v>-0.15073273400000001</v>
      </c>
      <c r="C5" s="12">
        <v>0.15084191599999999</v>
      </c>
      <c r="D5" s="1">
        <v>0.210800821</v>
      </c>
      <c r="E5" s="1">
        <v>5.9958905000000007E-2</v>
      </c>
      <c r="F5" s="6">
        <v>0.36153355500000001</v>
      </c>
    </row>
    <row r="6" spans="1:6" x14ac:dyDescent="0.3">
      <c r="A6" s="1" t="s">
        <v>28</v>
      </c>
      <c r="B6" s="1">
        <v>-0.62806883800000002</v>
      </c>
      <c r="C6" s="12">
        <v>-0.32240310100000003</v>
      </c>
      <c r="D6" s="1">
        <v>-0.58424532399999995</v>
      </c>
      <c r="E6" s="6">
        <v>-0.26184222299999993</v>
      </c>
      <c r="F6" s="1">
        <v>4.3823514000000063E-2</v>
      </c>
    </row>
    <row r="7" spans="1:6" x14ac:dyDescent="0.3">
      <c r="A7" s="1" t="s">
        <v>29</v>
      </c>
      <c r="B7" s="1">
        <v>0.22605772399999999</v>
      </c>
      <c r="C7" s="12">
        <v>0.23653974</v>
      </c>
      <c r="D7" s="1">
        <v>0.243259419</v>
      </c>
      <c r="E7" s="1">
        <v>6.7196790000000062E-3</v>
      </c>
      <c r="F7" s="1">
        <v>1.7201695000000017E-2</v>
      </c>
    </row>
    <row r="8" spans="1:6" x14ac:dyDescent="0.3">
      <c r="A8" s="1" t="s">
        <v>30</v>
      </c>
      <c r="B8" s="1">
        <v>0.161832849</v>
      </c>
      <c r="C8" s="12">
        <v>0.28292563199999998</v>
      </c>
      <c r="D8" s="1">
        <v>0.19402103500000001</v>
      </c>
      <c r="E8" s="1">
        <v>-8.8904596999999974E-2</v>
      </c>
      <c r="F8" s="1">
        <v>3.2188186000000008E-2</v>
      </c>
    </row>
    <row r="9" spans="1:6" x14ac:dyDescent="0.3">
      <c r="A9" s="1" t="s">
        <v>47</v>
      </c>
      <c r="B9" s="1">
        <v>-0.275546811</v>
      </c>
      <c r="C9" s="12">
        <v>-0.38563486699999999</v>
      </c>
      <c r="D9" s="1">
        <v>-0.30346810600000002</v>
      </c>
      <c r="E9" s="1">
        <v>8.2166760999999977E-2</v>
      </c>
      <c r="F9" s="1">
        <v>-2.7921295000000013E-2</v>
      </c>
    </row>
    <row r="10" spans="1:6" x14ac:dyDescent="0.3">
      <c r="A10" s="1" t="s">
        <v>31</v>
      </c>
      <c r="B10" s="1">
        <v>2.6586028500000001E-2</v>
      </c>
      <c r="C10" s="12">
        <v>5.0801363500000002E-2</v>
      </c>
      <c r="D10" s="1">
        <v>5.39178913E-2</v>
      </c>
      <c r="E10" s="1">
        <v>3.1165277999999977E-3</v>
      </c>
      <c r="F10" s="1">
        <v>2.7331862799999999E-2</v>
      </c>
    </row>
    <row r="11" spans="1:6" x14ac:dyDescent="0.3">
      <c r="A11" s="1" t="s">
        <v>32</v>
      </c>
      <c r="B11" s="1">
        <v>5.4903874900000003E-2</v>
      </c>
      <c r="C11" s="12">
        <v>8.0875699300000006E-2</v>
      </c>
      <c r="D11" s="1">
        <v>8.6818857900000004E-2</v>
      </c>
      <c r="E11" s="1">
        <v>5.9431585999999981E-3</v>
      </c>
      <c r="F11" s="1">
        <v>3.1914983000000001E-2</v>
      </c>
    </row>
    <row r="12" spans="1:6" x14ac:dyDescent="0.3">
      <c r="A12" s="1" t="s">
        <v>20</v>
      </c>
      <c r="B12" s="1">
        <v>-0.170798745</v>
      </c>
      <c r="C12" s="12">
        <v>-0.22297377600000001</v>
      </c>
      <c r="D12" s="1">
        <v>-0.34537329</v>
      </c>
      <c r="E12" s="17">
        <v>-0.12239951399999999</v>
      </c>
      <c r="F12" s="6">
        <v>-0.174574545</v>
      </c>
    </row>
    <row r="13" spans="1:6" x14ac:dyDescent="0.3">
      <c r="A13" s="1" t="s">
        <v>35</v>
      </c>
      <c r="B13" s="1">
        <v>0.19218174499999999</v>
      </c>
      <c r="C13" s="12">
        <v>0.19362299399999999</v>
      </c>
      <c r="D13" s="1">
        <v>0.193838285</v>
      </c>
      <c r="E13" s="1">
        <v>2.1529100000000634E-4</v>
      </c>
      <c r="F13" s="1">
        <v>1.6565400000000119E-3</v>
      </c>
    </row>
    <row r="14" spans="1:6" x14ac:dyDescent="0.3">
      <c r="A14" s="1" t="s">
        <v>33</v>
      </c>
      <c r="B14" s="1">
        <v>-0.24529441900000001</v>
      </c>
      <c r="C14" s="12">
        <v>-0.19800274300000001</v>
      </c>
      <c r="D14" s="1">
        <v>-0.20315704300000001</v>
      </c>
      <c r="E14" s="1">
        <v>-5.1543000000000005E-3</v>
      </c>
      <c r="F14" s="1">
        <v>4.2137376000000004E-2</v>
      </c>
    </row>
    <row r="15" spans="1:6" x14ac:dyDescent="0.3">
      <c r="A15" s="1" t="s">
        <v>34</v>
      </c>
      <c r="B15" s="1">
        <v>0.25402095499999999</v>
      </c>
      <c r="C15" s="12">
        <v>0.24757130199999999</v>
      </c>
      <c r="D15" s="1">
        <v>0.249834787</v>
      </c>
      <c r="E15" s="1">
        <v>2.2634850000000095E-3</v>
      </c>
      <c r="F15" s="1">
        <v>-4.1861679999999901E-3</v>
      </c>
    </row>
    <row r="16" spans="1:6" x14ac:dyDescent="0.3">
      <c r="A16" s="1" t="s">
        <v>36</v>
      </c>
      <c r="B16" s="1">
        <v>-9.3339327900000005E-2</v>
      </c>
      <c r="C16" s="12">
        <v>-0.44990539899999998</v>
      </c>
      <c r="D16" s="1">
        <v>-0.29491346099999999</v>
      </c>
      <c r="E16" s="6">
        <v>0.154991938</v>
      </c>
      <c r="F16" s="6">
        <v>-0.2015741331</v>
      </c>
    </row>
    <row r="17" spans="1:6" x14ac:dyDescent="0.3">
      <c r="A17" s="1" t="s">
        <v>37</v>
      </c>
      <c r="B17" s="1">
        <v>0.157656713</v>
      </c>
      <c r="C17" s="12">
        <v>0.19472551799999999</v>
      </c>
      <c r="D17" s="1">
        <v>0.19541766899999999</v>
      </c>
      <c r="E17" s="1">
        <v>6.9215100000000196E-4</v>
      </c>
      <c r="F17" s="1">
        <v>3.7760955999999984E-2</v>
      </c>
    </row>
    <row r="18" spans="1:6" x14ac:dyDescent="0.3">
      <c r="A18" s="1" t="s">
        <v>38</v>
      </c>
      <c r="B18" s="3">
        <v>-9.9861153499999994E-2</v>
      </c>
      <c r="C18" s="14">
        <v>-0.116193612</v>
      </c>
      <c r="D18" s="3">
        <v>-7.4151547499999998E-2</v>
      </c>
      <c r="E18" s="1">
        <v>4.2042064500000004E-2</v>
      </c>
      <c r="F18" s="1">
        <v>2.5709605999999996E-2</v>
      </c>
    </row>
    <row r="19" spans="1:6" x14ac:dyDescent="0.3">
      <c r="A19" s="1" t="s">
        <v>40</v>
      </c>
      <c r="B19" s="1">
        <v>-0.29707573399999998</v>
      </c>
      <c r="C19" s="12">
        <v>0.140549335</v>
      </c>
      <c r="D19" s="1">
        <v>3.9369242899999997E-2</v>
      </c>
      <c r="E19" s="6">
        <v>-0.10118009210000001</v>
      </c>
      <c r="F19" s="6">
        <v>0.33644497689999997</v>
      </c>
    </row>
    <row r="20" spans="1:6" x14ac:dyDescent="0.3">
      <c r="A20" s="1" t="s">
        <v>41</v>
      </c>
      <c r="B20" s="1">
        <v>0.178963553</v>
      </c>
      <c r="C20" s="12">
        <v>0.16437617400000001</v>
      </c>
      <c r="D20" s="1">
        <v>0.16634273999999999</v>
      </c>
      <c r="E20" s="1">
        <v>1.9665659999999752E-3</v>
      </c>
      <c r="F20" s="1">
        <v>-1.2620813000000008E-2</v>
      </c>
    </row>
    <row r="21" spans="1:6" x14ac:dyDescent="0.3">
      <c r="A21" s="1" t="s">
        <v>19</v>
      </c>
      <c r="B21" s="1">
        <v>-0.23716135999999999</v>
      </c>
      <c r="C21" s="12">
        <v>-0.43021229999999999</v>
      </c>
      <c r="D21" s="1">
        <v>-0.36153660100000001</v>
      </c>
      <c r="E21" s="1">
        <v>6.8675698999999979E-2</v>
      </c>
      <c r="F21" s="6">
        <v>-0.12437524100000003</v>
      </c>
    </row>
    <row r="22" spans="1:6" x14ac:dyDescent="0.3">
      <c r="A22" s="1" t="s">
        <v>42</v>
      </c>
      <c r="B22" s="1">
        <v>0.1545552</v>
      </c>
      <c r="C22" s="12">
        <v>0.16627735599999999</v>
      </c>
      <c r="D22" s="1">
        <v>0.17550520999999999</v>
      </c>
      <c r="E22" s="1">
        <v>9.2278540000000076E-3</v>
      </c>
      <c r="F22" s="1">
        <v>2.0950009999999991E-2</v>
      </c>
    </row>
    <row r="23" spans="1:6" x14ac:dyDescent="0.3">
      <c r="A23" s="1" t="s">
        <v>43</v>
      </c>
      <c r="B23" s="1">
        <v>0.166649881</v>
      </c>
      <c r="C23" s="12">
        <v>0.163145818</v>
      </c>
      <c r="D23" s="1">
        <v>0.158383623</v>
      </c>
      <c r="E23" s="1">
        <v>-4.7621949999999968E-3</v>
      </c>
      <c r="F23" s="1">
        <v>-8.2662579999999986E-3</v>
      </c>
    </row>
    <row r="24" spans="1:6" x14ac:dyDescent="0.3">
      <c r="A24" s="1" t="s">
        <v>44</v>
      </c>
      <c r="B24" s="1">
        <v>-0.306314541</v>
      </c>
      <c r="C24" s="12">
        <v>-0.25866224599999998</v>
      </c>
      <c r="D24" s="1">
        <v>-0.25653790900000001</v>
      </c>
      <c r="E24" s="1">
        <v>2.1243369999999762E-3</v>
      </c>
      <c r="F24" s="1">
        <v>4.9776631999999987E-2</v>
      </c>
    </row>
    <row r="25" spans="1:6" x14ac:dyDescent="0.3">
      <c r="A25" s="1" t="s">
        <v>45</v>
      </c>
      <c r="B25" s="1">
        <v>0.24561913299999999</v>
      </c>
      <c r="C25" s="12">
        <v>0.26000763900000001</v>
      </c>
      <c r="D25" s="1">
        <v>0.256924702</v>
      </c>
      <c r="E25" s="1">
        <v>-3.0829370000000078E-3</v>
      </c>
      <c r="F25" s="1">
        <v>1.1305569000000015E-2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8B368E-B20B-4345-8A40-D5829CC1FD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</vt:lpstr>
      <vt:lpstr>Cap_clean</vt:lpstr>
      <vt:lpstr>Size</vt:lpstr>
      <vt:lpstr>Size_clean</vt:lpstr>
      <vt:lpstr>_Size (2)</vt:lpstr>
      <vt:lpstr>_Size (2)_clean</vt:lpstr>
      <vt:lpstr>Size (adj)</vt:lpstr>
      <vt:lpstr>Size (adj)_clean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Lai</dc:creator>
  <cp:lastModifiedBy>Amy Lai</cp:lastModifiedBy>
  <dcterms:created xsi:type="dcterms:W3CDTF">2019-08-14T17:39:55Z</dcterms:created>
  <dcterms:modified xsi:type="dcterms:W3CDTF">2019-08-16T12:04:16Z</dcterms:modified>
</cp:coreProperties>
</file>