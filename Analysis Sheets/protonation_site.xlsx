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2947368D-64A3-4AF3-8985-5D6D7DF62953}" xr6:coauthVersionLast="41" xr6:coauthVersionMax="41" xr10:uidLastSave="{00000000-0000-0000-0000-000000000000}"/>
  <bookViews>
    <workbookView xWindow="-108" yWindow="-108" windowWidth="23256" windowHeight="12576" activeTab="8" xr2:uid="{1BBD6BCC-8EA9-4C4C-8DCB-5B652BE33A55}"/>
    <workbookView xWindow="28680" yWindow="-120" windowWidth="29040" windowHeight="15840" activeTab="4" xr2:uid="{016D89B1-2B39-490D-82CE-57CED8A70E71}"/>
  </bookViews>
  <sheets>
    <sheet name="_Energies" sheetId="1" r:id="rId1"/>
    <sheet name="_B3LYP En" sheetId="3" r:id="rId2"/>
    <sheet name="_MP2 En" sheetId="4" r:id="rId3"/>
    <sheet name="_DeltaG" sheetId="2" r:id="rId4"/>
    <sheet name="DeltaG (2)" sheetId="7" r:id="rId5"/>
    <sheet name="For_csv" sheetId="5" r:id="rId6"/>
    <sheet name="CSV_solv" sheetId="6" r:id="rId7"/>
    <sheet name="Energies" sheetId="8" r:id="rId8"/>
    <sheet name="solv" sheetId="9" r:id="rId9"/>
    <sheet name="B3LYP" sheetId="10" r:id="rId10"/>
    <sheet name="B3_solv" sheetId="11" r:id="rId11"/>
    <sheet name="MP2" sheetId="12" r:id="rId12"/>
    <sheet name="SMD" sheetId="13" r:id="rId13"/>
  </sheets>
  <definedNames>
    <definedName name="Total_Energies_1" localSheetId="0">_Energies!$A$16:$C$38</definedName>
    <definedName name="Total_Energies_2" localSheetId="0">_Energies!$A$41:$C$75</definedName>
    <definedName name="Total_Energies_3" localSheetId="0">_Energies!$G$38:$I$62</definedName>
    <definedName name="Total_Energies_4" localSheetId="0">_Energies!$G$28:$I$38</definedName>
    <definedName name="Total_Energies_5" localSheetId="0">_Energies!$G$65:$I$99</definedName>
    <definedName name="Total_Energies_6" localSheetId="1">'_B3LYP En'!$A$76:$C$86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6" l="1"/>
  <c r="C5" i="6"/>
  <c r="C3" i="6"/>
  <c r="D7" i="5"/>
  <c r="D3" i="5"/>
  <c r="D5" i="5"/>
  <c r="K42" i="2"/>
  <c r="N42" i="2" s="1"/>
  <c r="K43" i="2"/>
  <c r="L43" i="2" s="1"/>
  <c r="K38" i="2"/>
  <c r="N38" i="2" s="1"/>
  <c r="K39" i="2"/>
  <c r="L39" i="2" s="1"/>
  <c r="K34" i="2"/>
  <c r="M34" i="2" s="1"/>
  <c r="L34" i="2"/>
  <c r="K35" i="2"/>
  <c r="M35" i="2" s="1"/>
  <c r="L35" i="2"/>
  <c r="K19" i="2"/>
  <c r="N19" i="2" s="1"/>
  <c r="K20" i="2"/>
  <c r="L20" i="2"/>
  <c r="M20" i="2"/>
  <c r="N20" i="2"/>
  <c r="K14" i="2"/>
  <c r="N14" i="2" s="1"/>
  <c r="L11" i="2"/>
  <c r="M19" i="2" l="1"/>
  <c r="M42" i="2"/>
  <c r="L42" i="2"/>
  <c r="N43" i="2"/>
  <c r="M43" i="2"/>
  <c r="M38" i="2"/>
  <c r="L38" i="2"/>
  <c r="N39" i="2"/>
  <c r="M39" i="2"/>
  <c r="N35" i="2"/>
  <c r="N34" i="2"/>
  <c r="L19" i="2"/>
  <c r="L14" i="2"/>
  <c r="M14" i="2"/>
  <c r="C5" i="5"/>
  <c r="C7" i="5"/>
  <c r="B7" i="5"/>
  <c r="B5" i="5"/>
  <c r="C3" i="5"/>
  <c r="B3" i="5"/>
  <c r="K15" i="2" l="1"/>
  <c r="L15" i="2" s="1"/>
  <c r="K10" i="2"/>
  <c r="L10" i="2" s="1"/>
  <c r="K11" i="2"/>
  <c r="M10" i="2" l="1"/>
  <c r="N10" i="2"/>
  <c r="N11" i="2"/>
  <c r="M11" i="2"/>
  <c r="M15" i="2"/>
  <c r="N15" i="2"/>
  <c r="E4" i="8"/>
  <c r="F4" i="8"/>
  <c r="E5" i="8"/>
  <c r="F5" i="8"/>
  <c r="E6" i="8"/>
  <c r="F6" i="8"/>
  <c r="E7" i="8"/>
  <c r="F7" i="8"/>
  <c r="E8" i="8"/>
  <c r="F8" i="8"/>
  <c r="F8" i="13"/>
  <c r="E8" i="13"/>
  <c r="F7" i="13"/>
  <c r="E7" i="13"/>
  <c r="F6" i="13"/>
  <c r="E6" i="13"/>
  <c r="F5" i="13"/>
  <c r="E5" i="13"/>
  <c r="F4" i="13"/>
  <c r="E4" i="13"/>
  <c r="F8" i="12"/>
  <c r="E8" i="12"/>
  <c r="F7" i="12"/>
  <c r="E7" i="12"/>
  <c r="F6" i="12"/>
  <c r="E6" i="12"/>
  <c r="F5" i="12"/>
  <c r="E5" i="12"/>
  <c r="F4" i="12"/>
  <c r="E4" i="12"/>
  <c r="F8" i="11"/>
  <c r="E8" i="11"/>
  <c r="F7" i="11"/>
  <c r="E7" i="11"/>
  <c r="F6" i="11"/>
  <c r="E6" i="11"/>
  <c r="F5" i="11"/>
  <c r="E5" i="11"/>
  <c r="F4" i="11"/>
  <c r="E4" i="11"/>
  <c r="F8" i="10"/>
  <c r="E8" i="10"/>
  <c r="F7" i="10"/>
  <c r="E7" i="10"/>
  <c r="F6" i="10"/>
  <c r="E6" i="10"/>
  <c r="F5" i="10"/>
  <c r="E5" i="10"/>
  <c r="F4" i="10"/>
  <c r="E4" i="10"/>
  <c r="F8" i="9"/>
  <c r="E8" i="9"/>
  <c r="F7" i="9"/>
  <c r="E7" i="9"/>
  <c r="F6" i="9"/>
  <c r="E6" i="9"/>
  <c r="F5" i="9"/>
  <c r="E5" i="9"/>
  <c r="F4" i="9"/>
  <c r="E4" i="9"/>
  <c r="K123" i="7" l="1"/>
  <c r="N123" i="7" s="1"/>
  <c r="K122" i="7"/>
  <c r="L122" i="7" s="1"/>
  <c r="N121" i="7"/>
  <c r="M121" i="7"/>
  <c r="K121" i="7"/>
  <c r="L121" i="7" s="1"/>
  <c r="K120" i="7"/>
  <c r="M120" i="7" s="1"/>
  <c r="N117" i="7"/>
  <c r="M117" i="7"/>
  <c r="K117" i="7"/>
  <c r="L117" i="7" s="1"/>
  <c r="K116" i="7"/>
  <c r="L116" i="7" s="1"/>
  <c r="N115" i="7"/>
  <c r="M115" i="7"/>
  <c r="K115" i="7"/>
  <c r="L115" i="7" s="1"/>
  <c r="K114" i="7"/>
  <c r="M114" i="7" s="1"/>
  <c r="N111" i="7"/>
  <c r="M111" i="7"/>
  <c r="K111" i="7"/>
  <c r="L111" i="7" s="1"/>
  <c r="K110" i="7"/>
  <c r="L110" i="7" s="1"/>
  <c r="N109" i="7"/>
  <c r="M109" i="7"/>
  <c r="K109" i="7"/>
  <c r="L109" i="7" s="1"/>
  <c r="K108" i="7"/>
  <c r="M108" i="7" s="1"/>
  <c r="N100" i="7"/>
  <c r="M100" i="7"/>
  <c r="K100" i="7"/>
  <c r="L100" i="7" s="1"/>
  <c r="K99" i="7"/>
  <c r="M99" i="7" s="1"/>
  <c r="N98" i="7"/>
  <c r="M98" i="7"/>
  <c r="K98" i="7"/>
  <c r="L98" i="7" s="1"/>
  <c r="K97" i="7"/>
  <c r="M97" i="7" s="1"/>
  <c r="N94" i="7"/>
  <c r="M94" i="7"/>
  <c r="K94" i="7"/>
  <c r="L94" i="7" s="1"/>
  <c r="K93" i="7"/>
  <c r="N93" i="7" s="1"/>
  <c r="N92" i="7"/>
  <c r="M92" i="7"/>
  <c r="K92" i="7"/>
  <c r="L92" i="7" s="1"/>
  <c r="K91" i="7"/>
  <c r="L91" i="7" s="1"/>
  <c r="N88" i="7"/>
  <c r="M88" i="7"/>
  <c r="K88" i="7"/>
  <c r="L88" i="7" s="1"/>
  <c r="U87" i="7"/>
  <c r="V87" i="7" s="1"/>
  <c r="N87" i="7"/>
  <c r="M87" i="7"/>
  <c r="K87" i="7"/>
  <c r="L87" i="7" s="1"/>
  <c r="K86" i="7"/>
  <c r="N86" i="7" s="1"/>
  <c r="N85" i="7"/>
  <c r="M85" i="7"/>
  <c r="K85" i="7"/>
  <c r="L85" i="7" s="1"/>
  <c r="U84" i="7"/>
  <c r="W84" i="7" s="1"/>
  <c r="E69" i="7"/>
  <c r="E68" i="7"/>
  <c r="K66" i="7"/>
  <c r="N66" i="7" s="1"/>
  <c r="N65" i="7"/>
  <c r="M65" i="7"/>
  <c r="K65" i="7"/>
  <c r="L65" i="7" s="1"/>
  <c r="K64" i="7"/>
  <c r="N64" i="7" s="1"/>
  <c r="N63" i="7"/>
  <c r="M63" i="7"/>
  <c r="K63" i="7"/>
  <c r="L63" i="7" s="1"/>
  <c r="K62" i="7"/>
  <c r="N62" i="7" s="1"/>
  <c r="N61" i="7"/>
  <c r="M61" i="7"/>
  <c r="K61" i="7"/>
  <c r="L61" i="7" s="1"/>
  <c r="K47" i="7"/>
  <c r="N47" i="7" s="1"/>
  <c r="N40" i="7"/>
  <c r="M40" i="7"/>
  <c r="K40" i="7"/>
  <c r="L40" i="7" s="1"/>
  <c r="T33" i="7"/>
  <c r="S33" i="7"/>
  <c r="U33" i="7" s="1"/>
  <c r="N33" i="7"/>
  <c r="M33" i="7"/>
  <c r="L33" i="7"/>
  <c r="K33" i="7"/>
  <c r="K28" i="7"/>
  <c r="N28" i="7" s="1"/>
  <c r="N18" i="7"/>
  <c r="M18" i="7"/>
  <c r="L18" i="7"/>
  <c r="K18" i="7"/>
  <c r="K13" i="7"/>
  <c r="N13" i="7" s="1"/>
  <c r="T9" i="7"/>
  <c r="S9" i="7"/>
  <c r="U9" i="7" s="1"/>
  <c r="N9" i="7"/>
  <c r="M9" i="7"/>
  <c r="K9" i="7"/>
  <c r="L9" i="7" s="1"/>
  <c r="K5" i="7"/>
  <c r="M5" i="7" s="1"/>
  <c r="V84" i="7" l="1"/>
  <c r="L120" i="7"/>
  <c r="W87" i="7"/>
  <c r="M116" i="7"/>
  <c r="N5" i="7"/>
  <c r="L64" i="7"/>
  <c r="X84" i="7"/>
  <c r="X87" i="7"/>
  <c r="N91" i="7"/>
  <c r="N97" i="7"/>
  <c r="N99" i="7"/>
  <c r="N108" i="7"/>
  <c r="N114" i="7"/>
  <c r="N116" i="7"/>
  <c r="N120" i="7"/>
  <c r="N122" i="7"/>
  <c r="L86" i="7"/>
  <c r="L97" i="7"/>
  <c r="L108" i="7"/>
  <c r="M91" i="7"/>
  <c r="M110" i="7"/>
  <c r="M122" i="7"/>
  <c r="L62" i="7"/>
  <c r="M66" i="7"/>
  <c r="L93" i="7"/>
  <c r="L99" i="7"/>
  <c r="M86" i="7"/>
  <c r="M93" i="7"/>
  <c r="L47" i="7"/>
  <c r="L66" i="7"/>
  <c r="N110" i="7"/>
  <c r="L13" i="7"/>
  <c r="L28" i="7"/>
  <c r="M47" i="7"/>
  <c r="M62" i="7"/>
  <c r="M64" i="7"/>
  <c r="M13" i="7"/>
  <c r="M28" i="7"/>
  <c r="L123" i="7"/>
  <c r="L5" i="7"/>
  <c r="M123" i="7"/>
  <c r="L114" i="7"/>
  <c r="K114" i="2"/>
  <c r="K113" i="2"/>
  <c r="K112" i="2"/>
  <c r="K111" i="2"/>
  <c r="K108" i="2"/>
  <c r="K107" i="2"/>
  <c r="K106" i="2"/>
  <c r="K105" i="2"/>
  <c r="K100" i="2"/>
  <c r="K101" i="2"/>
  <c r="K102" i="2"/>
  <c r="K99" i="2"/>
  <c r="N99" i="2" s="1"/>
  <c r="M99" i="2" l="1"/>
  <c r="L99" i="2" l="1"/>
  <c r="M114" i="2" l="1"/>
  <c r="N113" i="2"/>
  <c r="L112" i="2"/>
  <c r="N111" i="2"/>
  <c r="L108" i="2"/>
  <c r="N107" i="2"/>
  <c r="L106" i="2"/>
  <c r="N105" i="2"/>
  <c r="L102" i="2"/>
  <c r="N101" i="2"/>
  <c r="M100" i="2"/>
  <c r="M102" i="2" l="1"/>
  <c r="M108" i="2"/>
  <c r="N102" i="2"/>
  <c r="N108" i="2"/>
  <c r="M112" i="2"/>
  <c r="M106" i="2"/>
  <c r="N100" i="2"/>
  <c r="N106" i="2"/>
  <c r="N112" i="2"/>
  <c r="L101" i="2"/>
  <c r="L105" i="2"/>
  <c r="L107" i="2"/>
  <c r="L111" i="2"/>
  <c r="L113" i="2"/>
  <c r="M101" i="2"/>
  <c r="M105" i="2"/>
  <c r="M107" i="2"/>
  <c r="M111" i="2"/>
  <c r="M113" i="2"/>
  <c r="N114" i="2"/>
  <c r="L100" i="2"/>
  <c r="L114" i="2"/>
  <c r="X78" i="2"/>
  <c r="W78" i="2"/>
  <c r="V75" i="2"/>
  <c r="U78" i="2"/>
  <c r="V78" i="2" s="1"/>
  <c r="U75" i="2"/>
  <c r="X75" i="2" s="1"/>
  <c r="W75" i="2" l="1"/>
  <c r="K91" i="2"/>
  <c r="L91" i="2" s="1"/>
  <c r="K90" i="2"/>
  <c r="N90" i="2" s="1"/>
  <c r="K85" i="2"/>
  <c r="L85" i="2" s="1"/>
  <c r="K84" i="2"/>
  <c r="L84" i="2" s="1"/>
  <c r="K79" i="2"/>
  <c r="N79" i="2" s="1"/>
  <c r="K78" i="2"/>
  <c r="N78" i="2" s="1"/>
  <c r="N89" i="2"/>
  <c r="M89" i="2"/>
  <c r="K89" i="2"/>
  <c r="L89" i="2" s="1"/>
  <c r="K88" i="2"/>
  <c r="N88" i="2" s="1"/>
  <c r="K83" i="2"/>
  <c r="N83" i="2" s="1"/>
  <c r="K82" i="2"/>
  <c r="N82" i="2" s="1"/>
  <c r="K77" i="2"/>
  <c r="N77" i="2" s="1"/>
  <c r="N76" i="2"/>
  <c r="M76" i="2"/>
  <c r="L76" i="2"/>
  <c r="K76" i="2"/>
  <c r="M88" i="2" l="1"/>
  <c r="M84" i="2"/>
  <c r="N84" i="2"/>
  <c r="M82" i="2"/>
  <c r="L82" i="2"/>
  <c r="L78" i="2"/>
  <c r="N85" i="2"/>
  <c r="M85" i="2"/>
  <c r="L90" i="2"/>
  <c r="M91" i="2"/>
  <c r="N91" i="2"/>
  <c r="M90" i="2"/>
  <c r="M78" i="2"/>
  <c r="L79" i="2"/>
  <c r="M79" i="2"/>
  <c r="L88" i="2"/>
  <c r="L77" i="2"/>
  <c r="L83" i="2"/>
  <c r="M77" i="2"/>
  <c r="M83" i="2"/>
  <c r="E59" i="2"/>
  <c r="E60" i="2" s="1"/>
  <c r="K57" i="2" l="1"/>
  <c r="N57" i="2" s="1"/>
  <c r="K55" i="2"/>
  <c r="N55" i="2" s="1"/>
  <c r="K53" i="2"/>
  <c r="N53" i="2" s="1"/>
  <c r="K56" i="2"/>
  <c r="M56" i="2" s="1"/>
  <c r="K54" i="2"/>
  <c r="N54" i="2" s="1"/>
  <c r="K52" i="2"/>
  <c r="N52" i="2" s="1"/>
  <c r="L57" i="2" l="1"/>
  <c r="M57" i="2"/>
  <c r="L52" i="2"/>
  <c r="M52" i="2"/>
  <c r="L55" i="2"/>
  <c r="M55" i="2"/>
  <c r="M53" i="2"/>
  <c r="L53" i="2"/>
  <c r="L56" i="2"/>
  <c r="N56" i="2"/>
  <c r="L54" i="2"/>
  <c r="M54" i="2"/>
  <c r="T33" i="2"/>
  <c r="S33" i="2"/>
  <c r="T9" i="2"/>
  <c r="S9" i="2"/>
  <c r="K37" i="2"/>
  <c r="K41" i="2"/>
  <c r="K33" i="2"/>
  <c r="K28" i="2"/>
  <c r="K5" i="2"/>
  <c r="K13" i="2"/>
  <c r="K9" i="2"/>
  <c r="K18" i="2"/>
  <c r="U33" i="2" l="1"/>
  <c r="N28" i="2"/>
  <c r="M28" i="2"/>
  <c r="L28" i="2"/>
  <c r="N33" i="2"/>
  <c r="L33" i="2"/>
  <c r="M33" i="2"/>
  <c r="N37" i="2"/>
  <c r="L37" i="2"/>
  <c r="M37" i="2"/>
  <c r="N18" i="2"/>
  <c r="L18" i="2"/>
  <c r="M18" i="2"/>
  <c r="U9" i="2"/>
  <c r="L9" i="2"/>
  <c r="N9" i="2"/>
  <c r="M9" i="2"/>
  <c r="M13" i="2"/>
  <c r="N13" i="2"/>
  <c r="L13" i="2"/>
  <c r="L5" i="2"/>
  <c r="M5" i="2"/>
  <c r="N5" i="2"/>
  <c r="N41" i="2"/>
  <c r="M41" i="2"/>
  <c r="L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otal_Energies" type="6" refreshedVersion="6" background="1" saveData="1">
    <textPr codePage="850" sourceFile="C:\Users\User\Dropbox\All UCL Related\NC_locals\Mech_Monomers\proton_site\Total_Energies.txt" delimited="0">
      <textFields count="3">
        <textField/>
        <textField position="45"/>
        <textField position="49"/>
      </textFields>
    </textPr>
  </connection>
  <connection id="2" xr16:uid="{00000000-0015-0000-FFFF-FFFF01000000}" name="Total_Energies1" type="6" refreshedVersion="6" background="1" saveData="1">
    <textPr codePage="850" sourceFile="C:\Users\User\Dropbox\All UCL Related\NC_locals\delta_monomer_stab\Total_Energies.txt" delimited="0">
      <textFields count="3">
        <textField/>
        <textField position="45"/>
        <textField position="49"/>
      </textFields>
    </textPr>
  </connection>
  <connection id="3" xr16:uid="{00000000-0015-0000-FFFF-FFFF02000000}" name="Total_Energies2" type="6" refreshedVersion="6" background="1" saveData="1">
    <textPr codePage="850" sourceFile="C:\Users\User\Dropbox\All UCL Related\NC_locals\delta_monomer_stab\solvent\Total_Energies.txt" delimited="0">
      <textFields count="3">
        <textField/>
        <textField position="45"/>
        <textField position="49"/>
      </textFields>
    </textPr>
  </connection>
  <connection id="4" xr16:uid="{00000000-0015-0000-FFFF-FFFF03000000}" name="Total_Energies3" type="6" refreshedVersion="6" background="1" saveData="1">
    <textPr codePage="850" sourceFile="C:\Users\User\Dropbox\All UCL Related\NC_locals\Mech_Monomers\solvent\Total_Energies.txt" delimited="0">
      <textFields count="3">
        <textField/>
        <textField position="45"/>
        <textField position="49"/>
      </textFields>
    </textPr>
  </connection>
  <connection id="5" xr16:uid="{00000000-0015-0000-FFFF-FFFF04000000}" name="Total_Energies4" type="6" refreshedVersion="6" background="1" saveData="1">
    <textPr codePage="850" sourceFile="C:\Users\User\Dropbox\All UCL Related\NC_locals\delta_monomer_stab\solvent\Total_Energies.txt" delimited="0">
      <textFields count="3">
        <textField/>
        <textField position="45"/>
        <textField position="49"/>
      </textFields>
    </textPr>
  </connection>
  <connection id="6" xr16:uid="{00000000-0015-0000-FFFF-FFFF05000000}" name="Total_Energies5" type="6" refreshedVersion="6" background="1" saveData="1">
    <textPr codePage="850" sourceFile="C:\Users\User\Dropbox\All UCL Related\NC_locals\Total_Energies.txt" delimited="0">
      <textFields count="3">
        <textField/>
        <textField position="45"/>
        <textField position="49"/>
      </textFields>
    </textPr>
  </connection>
</connections>
</file>

<file path=xl/sharedStrings.xml><?xml version="1.0" encoding="utf-8"?>
<sst xmlns="http://schemas.openxmlformats.org/spreadsheetml/2006/main" count="1411" uniqueCount="406">
  <si>
    <t>Protonation site</t>
  </si>
  <si>
    <t>C2H-ON_fromcln.out</t>
  </si>
  <si>
    <t>SCF Done:  E(RwB97XD) =  -970.379307354</t>
  </si>
  <si>
    <t>A.U.</t>
  </si>
  <si>
    <t>after    1 cycles</t>
  </si>
  <si>
    <t>Zero-point correction=</t>
  </si>
  <si>
    <t>Thermal correction to Energy=</t>
  </si>
  <si>
    <t>Thermal correction to Enthalpy=</t>
  </si>
  <si>
    <t>Thermal correction to Gibbs Free Energy=</t>
  </si>
  <si>
    <t>Sum of electronic and zero-point Energies=</t>
  </si>
  <si>
    <t>Sum of electronic and thermal Energies=</t>
  </si>
  <si>
    <t>Sum of electronic and thermal Enthalpies=</t>
  </si>
  <si>
    <t>Sum of electronic and thermal Free Energies=</t>
  </si>
  <si>
    <t>SCF Done:  E(RwB97XD) =  -970.464051778</t>
  </si>
  <si>
    <t xml:space="preserve"> (Hartree/Particle)</t>
  </si>
  <si>
    <t>bridging O</t>
  </si>
  <si>
    <t>H20.out</t>
  </si>
  <si>
    <t>SCF Done:  E(RwB97XD) =  -76.4155806705</t>
  </si>
  <si>
    <t>0.021739 (Hartree/Particle)</t>
  </si>
  <si>
    <t>H3O-hi.out</t>
  </si>
  <si>
    <t>SCF Done:  E(RwB97XD) =  -76.6920816979</t>
  </si>
  <si>
    <t>0.034827 (Hartree/Particle)</t>
  </si>
  <si>
    <t>no2_pos_ion.out</t>
  </si>
  <si>
    <t>SCF Done:  E(RwB97XD) =  -204.673218187</t>
  </si>
  <si>
    <t>0.012171 (Hartree/Particle)</t>
  </si>
  <si>
    <t>Vacuum</t>
  </si>
  <si>
    <t>NC</t>
  </si>
  <si>
    <t>+</t>
  </si>
  <si>
    <t>H3O+</t>
  </si>
  <si>
    <t>-&gt;</t>
  </si>
  <si>
    <t>NC-H</t>
  </si>
  <si>
    <t>H2O</t>
  </si>
  <si>
    <t xml:space="preserve"> Zero-point correction=                           </t>
  </si>
  <si>
    <t>0.257509 (Hartree/Particle)</t>
  </si>
  <si>
    <t xml:space="preserve"> Thermal correction to Energy=                    </t>
  </si>
  <si>
    <t xml:space="preserve"> Thermal correction to Enthalpy=                 </t>
  </si>
  <si>
    <t xml:space="preserve"> Thermal correction to Gibbs Free Energy=       </t>
  </si>
  <si>
    <t xml:space="preserve"> Sum of electronic and zero-point Energies=           </t>
  </si>
  <si>
    <t xml:space="preserve"> Sum of electronic and thermal Energies=              </t>
  </si>
  <si>
    <t xml:space="preserve"> Sum of electronic and thermal Enthalpies=           </t>
  </si>
  <si>
    <t xml:space="preserve"> Sum of electronic and thermal Free Energies=        </t>
  </si>
  <si>
    <t>C2.out</t>
  </si>
  <si>
    <t>Bridging</t>
  </si>
  <si>
    <t>Terminal</t>
  </si>
  <si>
    <t>C2-OH.out</t>
  </si>
  <si>
    <t>0.270016 (Hartree/Particle)</t>
  </si>
  <si>
    <t xml:space="preserve"> Thermal correction to Gibbs Free Energy=        </t>
  </si>
  <si>
    <t xml:space="preserve"> Sum of electronic and zero-point Energies=          </t>
  </si>
  <si>
    <t>Solvent</t>
  </si>
  <si>
    <t>In solvent</t>
  </si>
  <si>
    <t>Delta G</t>
  </si>
  <si>
    <t>Free energies</t>
  </si>
  <si>
    <t>SCF Done:  E(RwB97XD) =  -76.4229441399</t>
  </si>
  <si>
    <t>0.021586 (Hartree/Particle)</t>
  </si>
  <si>
    <t>SCF Done:  E(RwB97XD) =  -204.788184681</t>
  </si>
  <si>
    <t>0.012293 (Hartree/Particle)</t>
  </si>
  <si>
    <t>SCF Done:  E(RwB97XD) =  -76.8158259743</t>
  </si>
  <si>
    <t>0.035339 (Hartree/Particle)</t>
  </si>
  <si>
    <t>SCF Done:  E(RwB97XD) =  -970.449963212</t>
  </si>
  <si>
    <t>0.269745 (Hartree/Particle)</t>
  </si>
  <si>
    <t>solv-C2.out</t>
  </si>
  <si>
    <t>SCF Done:  E(RwB97XD) =  -970.073670873</t>
  </si>
  <si>
    <t>0.257100 (Hartree/Particle)</t>
  </si>
  <si>
    <t>Capping</t>
  </si>
  <si>
    <t>Terminal O</t>
  </si>
  <si>
    <t>Capping O</t>
  </si>
  <si>
    <t>../C2-Hcap_fromcln.out</t>
  </si>
  <si>
    <t xml:space="preserve"> SCF Done:  E(RwB97XD) =       </t>
  </si>
  <si>
    <t>A.U. after    1 cycles</t>
  </si>
  <si>
    <t xml:space="preserve"> Thermal correction to Enthalpy=                  </t>
  </si>
  <si>
    <t xml:space="preserve"> Sum of electronic and thermal Enthalpies=            </t>
  </si>
  <si>
    <t xml:space="preserve"> Sum of electronic and thermal Free Energies=         </t>
  </si>
  <si>
    <t xml:space="preserve"> SCF Done:  E(RwB97XD) =  </t>
  </si>
  <si>
    <t xml:space="preserve"> Zero-point correction=                          </t>
  </si>
  <si>
    <t xml:space="preserve"> Thermal correction to Gibbs Free Energy=         </t>
  </si>
  <si>
    <t xml:space="preserve"> Sum of electronic and thermal Energies=             </t>
  </si>
  <si>
    <t>less likely</t>
  </si>
  <si>
    <t>(it looks like its trying to go to the capping group)</t>
  </si>
  <si>
    <t>bogus - I said SCRF but forgot to specify which one, in the first opt</t>
  </si>
  <si>
    <t>_s-C2-Hcap_fromcln.out</t>
  </si>
  <si>
    <t>bogus - I said SCRF but forgot to specify which one, (it auto input "allcheck". Likely why the energies are so similar (though weirdly not indenitcal - don’t know excatly what it did there)</t>
  </si>
  <si>
    <t>DID NOT CONVERGE AT HIGHEST LEVEL</t>
  </si>
  <si>
    <t>Data from -mid level</t>
  </si>
  <si>
    <t>Just C2</t>
  </si>
  <si>
    <t>Favorable, or spontaneous reactions:</t>
  </si>
  <si>
    <r>
      <t>Unfavorable, or non-spontaneous reactions</t>
    </r>
    <r>
      <rPr>
        <sz val="11"/>
        <color theme="1"/>
        <rFont val="Calibri"/>
        <family val="2"/>
        <scheme val="minor"/>
      </rPr>
      <t>:</t>
    </r>
    <r>
      <rPr>
        <i/>
        <sz val="11"/>
        <color theme="1"/>
        <rFont val="Calibri"/>
        <family val="2"/>
        <scheme val="minor"/>
      </rPr>
      <t/>
    </r>
  </si>
  <si>
    <t>most likely but</t>
  </si>
  <si>
    <t>IT DOESN'T WANT TO BE PROTONATED IN SOLVENT</t>
  </si>
  <si>
    <t>YOU GOT THESE MIXED UP</t>
  </si>
  <si>
    <t>Just NC + water, not protonated</t>
  </si>
  <si>
    <r>
      <t>deltaG</t>
    </r>
    <r>
      <rPr>
        <strike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 &lt; 0</t>
    </r>
  </si>
  <si>
    <r>
      <t>deltaG</t>
    </r>
    <r>
      <rPr>
        <strike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 &gt; 0</t>
    </r>
  </si>
  <si>
    <t>hartree</t>
  </si>
  <si>
    <t>eV</t>
  </si>
  <si>
    <t>kJmol-1</t>
  </si>
  <si>
    <t>kcalmol-1</t>
  </si>
  <si>
    <t>not likely</t>
  </si>
  <si>
    <t>solvent/cont_s-C2-Hcap_fromcln.out</t>
  </si>
  <si>
    <t>But only by a small amount</t>
  </si>
  <si>
    <t>oooooh most likely</t>
  </si>
  <si>
    <t>least likely</t>
  </si>
  <si>
    <t>REDO THESE IN B3LYP if these weren't done in that beforehand</t>
  </si>
  <si>
    <t>ΔG of protonation</t>
  </si>
  <si>
    <t>H</t>
  </si>
  <si>
    <t>kJ/mol</t>
  </si>
  <si>
    <t>kCal/mol</t>
  </si>
  <si>
    <t>Protonation Site</t>
  </si>
  <si>
    <t>(Protonation reaction)</t>
  </si>
  <si>
    <t>Vac</t>
  </si>
  <si>
    <t>solv</t>
  </si>
  <si>
    <t xml:space="preserve">Though be skeptical - you only managed to optimise this later and WITHOUT the zmat part. </t>
  </si>
  <si>
    <t>Trying again with that switched on to see whether the energy is sginifciantly different or not</t>
  </si>
  <si>
    <t>6-31+G**</t>
  </si>
  <si>
    <t>lit. /wB97xd</t>
  </si>
  <si>
    <t>vac only</t>
  </si>
  <si>
    <t>This is quite a big diff. Explain-able by program ver / diff in basis/ compilation?</t>
  </si>
  <si>
    <t>Gas</t>
  </si>
  <si>
    <t>Protonated</t>
  </si>
  <si>
    <t>/home/sacal5/Mech_monomers/acid_mech/proton_site</t>
  </si>
  <si>
    <r>
      <rPr>
        <b/>
        <sz val="11"/>
        <color theme="1"/>
        <rFont val="Calibri"/>
        <family val="2"/>
        <scheme val="minor"/>
      </rPr>
      <t>solvent/(s-)</t>
    </r>
    <r>
      <rPr>
        <sz val="11"/>
        <color theme="1"/>
        <rFont val="Calibri"/>
        <family val="2"/>
        <scheme val="minor"/>
      </rPr>
      <t>C2H-ON_fromcln.out</t>
    </r>
  </si>
  <si>
    <t>MP2</t>
  </si>
  <si>
    <t>B3LYP</t>
  </si>
  <si>
    <t>/home/uccajla/ravensave/delta_G_stab</t>
  </si>
  <si>
    <t>from:</t>
  </si>
  <si>
    <t>/home/c.sacal5/Scratch/Mech_monomers/proton_site</t>
  </si>
  <si>
    <t>B3LYP_C2-Hcap_fromcln.out</t>
  </si>
  <si>
    <t>B3LYP_C2H-ON_fromcln.out</t>
  </si>
  <si>
    <t>B3LYP_C2-OH.out</t>
  </si>
  <si>
    <t>B3LYP_H20.out</t>
  </si>
  <si>
    <t>can't find this source file!!</t>
  </si>
  <si>
    <t>B3LYP_H3O.out</t>
  </si>
  <si>
    <t>cont_B3LYP_no2_pos_ion.out</t>
  </si>
  <si>
    <t xml:space="preserve"> SCF Done:  E(RB3LYP) =  </t>
  </si>
  <si>
    <t>-76.7109768734     A.U. after    1 cycles</t>
  </si>
  <si>
    <t xml:space="preserve"> 0.032649 (Hartree/Particle)</t>
  </si>
  <si>
    <t xml:space="preserve"> Thermal correction to Energy=                   </t>
  </si>
  <si>
    <t xml:space="preserve"> Sum of electronic and thermal Energies=               </t>
  </si>
  <si>
    <t xml:space="preserve"> Sum of electronic and thermal Free Energies=       </t>
  </si>
  <si>
    <t xml:space="preserve"> Sum of electronic and thermal Enthalpies=             </t>
  </si>
  <si>
    <t>-204.739796217     A.U. after    1 cycles</t>
  </si>
  <si>
    <t>0.011880 (Hartree/Particle)</t>
  </si>
  <si>
    <t xml:space="preserve"> Thermal correction to Gibbs Free Energy=      </t>
  </si>
  <si>
    <t xml:space="preserve"> SCF Done:  E(RB3LYP) </t>
  </si>
  <si>
    <t xml:space="preserve">  -970.668824653     A.U. after    1 cycles</t>
  </si>
  <si>
    <t xml:space="preserve"> Zero-point correction</t>
  </si>
  <si>
    <t xml:space="preserve">                           0.265572 (Hartree/Particle)</t>
  </si>
  <si>
    <t xml:space="preserve"> Thermal correction to Energy</t>
  </si>
  <si>
    <t xml:space="preserve"> Thermal correction to Enthalpy</t>
  </si>
  <si>
    <t xml:space="preserve"> Thermal correction to Gibbs Free Energy</t>
  </si>
  <si>
    <t xml:space="preserve"> Sum of electronic and zero-point Energies</t>
  </si>
  <si>
    <t xml:space="preserve"> Sum of electronic and thermal Energies</t>
  </si>
  <si>
    <t xml:space="preserve"> Sum of electronic and thermal Enthalpies</t>
  </si>
  <si>
    <t xml:space="preserve"> Sum of electronic and thermal Free Energies</t>
  </si>
  <si>
    <t xml:space="preserve">  -970.668824813     A.U. after    1 cycles</t>
  </si>
  <si>
    <t xml:space="preserve">  -970.655939453     A.U. after    1 cycles</t>
  </si>
  <si>
    <t xml:space="preserve">                           0.265171 (Hartree/Particle)</t>
  </si>
  <si>
    <t xml:space="preserve">  -76.4406145973     A.U. after    1 cycles</t>
  </si>
  <si>
    <t xml:space="preserve">                           0.021291 (Hartree/Particle)</t>
  </si>
  <si>
    <t>cont_MP2_C2H-ON_fromcln.out</t>
  </si>
  <si>
    <t xml:space="preserve"> SCF Done:  E(RHF) </t>
  </si>
  <si>
    <t xml:space="preserve">  -965.202163068     A.U. after    1 cycles</t>
  </si>
  <si>
    <t xml:space="preserve">                           0.268224 (Hartree/Particle)</t>
  </si>
  <si>
    <t>cont_MP2_no2_pos_ion.out</t>
  </si>
  <si>
    <t xml:space="preserve">  -203.698512588     A.U. after    1 cycles</t>
  </si>
  <si>
    <t xml:space="preserve">                           0.011596 (Hartree/Particle)</t>
  </si>
  <si>
    <t>MP2_H20.out</t>
  </si>
  <si>
    <t xml:space="preserve">  -76.0361041999     A.U. after    1 cycles</t>
  </si>
  <si>
    <t xml:space="preserve">                           0.021615 (Hartree/Particle)</t>
  </si>
  <si>
    <t>MP2_H3O.out</t>
  </si>
  <si>
    <t xml:space="preserve">  -76.3126490980     A.U. after    1 cycles</t>
  </si>
  <si>
    <t xml:space="preserve">                           0.033078 (Hartree/Particle)</t>
  </si>
  <si>
    <t>B3LYP_C2.out</t>
  </si>
  <si>
    <t xml:space="preserve">  -970.345838542     A.U. after    1 cycles</t>
  </si>
  <si>
    <t xml:space="preserve">                           0.253169 (Hartree/Particle)</t>
  </si>
  <si>
    <t>freq_MP2_C2-Hcap_fromcln.out</t>
  </si>
  <si>
    <t xml:space="preserve">  -965.202180733     A.U. after    1 cycles</t>
  </si>
  <si>
    <t xml:space="preserve">                           0.268228 (Hartree/Particle)</t>
  </si>
  <si>
    <t>freq_MP2_C2-OH.out</t>
  </si>
  <si>
    <t xml:space="preserve">  -965.236345168     A.U. after    1 cycles</t>
  </si>
  <si>
    <t xml:space="preserve">                           0.270516 (Hartree/Particle)</t>
  </si>
  <si>
    <t>cont_MP2_C2.out</t>
  </si>
  <si>
    <t xml:space="preserve">  -964.915675501     A.U. after    1 cycles</t>
  </si>
  <si>
    <t xml:space="preserve">                           0.258036 (Hartree/Particle)</t>
  </si>
  <si>
    <t>solvent</t>
  </si>
  <si>
    <t>B3LYP_s-C2-OH.out</t>
  </si>
  <si>
    <t xml:space="preserve">  -970.737767586     A.U. after    1 cycles</t>
  </si>
  <si>
    <t xml:space="preserve">                           0.255252 (Hartree/Particle)</t>
  </si>
  <si>
    <t>B3LYP_s-C2H-ON_fromcln.out</t>
  </si>
  <si>
    <t xml:space="preserve">  -970.754093127     A.U. after    1 cycles</t>
  </si>
  <si>
    <t xml:space="preserve">                           0.262749 (Hartree/Particle)</t>
  </si>
  <si>
    <t>B3LYP_s-H20.out</t>
  </si>
  <si>
    <t xml:space="preserve">  -76.4478359776     A.U. after    1 cycles</t>
  </si>
  <si>
    <t xml:space="preserve">                           0.021176 (Hartree/Particle)</t>
  </si>
  <si>
    <t>/home/c.sacal5/Scratch/Mech_monomers/proton_site/solvent</t>
  </si>
  <si>
    <t>B3LYP_s-no2_pos_ion.out</t>
  </si>
  <si>
    <t xml:space="preserve">  -204.854783192     A.U. after    1 cycles</t>
  </si>
  <si>
    <t xml:space="preserve">                           0.012010 (Hartree/Particle)</t>
  </si>
  <si>
    <t>B3LYP_s-C2.out</t>
  </si>
  <si>
    <t xml:space="preserve">  -970.364753754     A.U. after    1 cycles</t>
  </si>
  <si>
    <t xml:space="preserve">                           0.252912 (Hartree/Particle)</t>
  </si>
  <si>
    <t>MP2_s-C2-OH.out</t>
  </si>
  <si>
    <t xml:space="preserve">  -965.321373840     A.U. after    1 cycles</t>
  </si>
  <si>
    <t xml:space="preserve">                           0.263579 (Hartree/Particle)</t>
  </si>
  <si>
    <t>MP2_s-H20.out</t>
  </si>
  <si>
    <t xml:space="preserve">  -76.0437094005     A.U. after    1 cycles</t>
  </si>
  <si>
    <t xml:space="preserve">                           0.021491 (Hartree/Particle)</t>
  </si>
  <si>
    <t>MP2_s-H3O.out</t>
  </si>
  <si>
    <t xml:space="preserve">  -76.4379873830     A.U. after    1 cycles</t>
  </si>
  <si>
    <t xml:space="preserve">                           3.406937 (Hartree/Particle)</t>
  </si>
  <si>
    <t>UNCONVERGED</t>
  </si>
  <si>
    <t>FIX THESE</t>
  </si>
  <si>
    <t>B3LYP_s-C2-Hcap_fromcln.out</t>
  </si>
  <si>
    <t xml:space="preserve">  -970.754093095     A.U. after    1 cycles</t>
  </si>
  <si>
    <t xml:space="preserve">                           0.262777 (Hartree/Particle)</t>
  </si>
  <si>
    <t>B3LYP_s-H3O.out</t>
  </si>
  <si>
    <t xml:space="preserve">  -76.8368073579     A.U. after    1 cycles</t>
  </si>
  <si>
    <t xml:space="preserve">                           0.034998 (Hartree/Particle)</t>
  </si>
  <si>
    <t>cont_B3LYP_H3O.out</t>
  </si>
  <si>
    <t xml:space="preserve">  -76.7130619427     A.U. after    1 cycles</t>
  </si>
  <si>
    <t xml:space="preserve">                           0.034220 (Hartree/Particle)</t>
  </si>
  <si>
    <t>cont_B3LYP_C2.out</t>
  </si>
  <si>
    <t xml:space="preserve">  -970.345838567     A.U. after    1 cycles</t>
  </si>
  <si>
    <t xml:space="preserve">                           0.253170 (Hartree/Particle)</t>
  </si>
  <si>
    <t>Zero-point correction=                           0.270516 (Hartree/Particle)</t>
  </si>
  <si>
    <t xml:space="preserve"> Thermal correction to Energy=                    0.288716</t>
  </si>
  <si>
    <t xml:space="preserve"> Thermal correction to Enthalpy=                  0.289660</t>
  </si>
  <si>
    <t xml:space="preserve"> Thermal correction to Gibbs Free Energy=         0.224190</t>
  </si>
  <si>
    <t xml:space="preserve"> Sum of electronic and zero-point Energies=           -968.241955</t>
  </si>
  <si>
    <t xml:space="preserve"> Sum of electronic and thermal Energies=              -968.223755</t>
  </si>
  <si>
    <t xml:space="preserve"> Sum of electronic and thermal Enthalpies=            -968.222811</t>
  </si>
  <si>
    <t xml:space="preserve"> Sum of electronic and thermal Free Energies=         -968.288281</t>
  </si>
  <si>
    <t>SCF Done:  E(RHF) =  -965.236341166     A.U. after    1 cycles</t>
  </si>
  <si>
    <t>cont_freq_MP2_C2-OH.out</t>
  </si>
  <si>
    <t>cont_B3LYP_C2-OH.out</t>
  </si>
  <si>
    <t xml:space="preserve">  -970.655939672     A.U. after    1 cycles</t>
  </si>
  <si>
    <t xml:space="preserve">                           0.265162 (Hartree/Particle)</t>
  </si>
  <si>
    <t>cont_cont_B3LYP_s-C2-Hcap_fromcln.out</t>
  </si>
  <si>
    <t xml:space="preserve">  -970.754047106     A.U. after    1 cycles</t>
  </si>
  <si>
    <t xml:space="preserve">                           0.263084 (Hartree/Particle)</t>
  </si>
  <si>
    <t xml:space="preserve">  -970.737776740     A.U. after    1 cycles</t>
  </si>
  <si>
    <t xml:space="preserve">                           0.254654 (Hartree/Particle)</t>
  </si>
  <si>
    <t>cont_cont_B3LYP_s-C2.out</t>
  </si>
  <si>
    <t xml:space="preserve">  -970.364758927     A.U. after    1 cycles</t>
  </si>
  <si>
    <t xml:space="preserve">                           0.252812 (Hartree/Particle)</t>
  </si>
  <si>
    <t>cont_cont_B3LYP_s-H3O.out</t>
  </si>
  <si>
    <t xml:space="preserve">  -76.8367687531     A.U. after    1 cycles</t>
  </si>
  <si>
    <t xml:space="preserve">                           0.031856 (Hartree/Particle)</t>
  </si>
  <si>
    <t>with B3LYP</t>
  </si>
  <si>
    <t>vac</t>
  </si>
  <si>
    <t>pcm</t>
  </si>
  <si>
    <t>B3less_O-in_N-out-Step42_TS</t>
  </si>
  <si>
    <t>freq_B3less_O-in_N-out-Step12_R</t>
  </si>
  <si>
    <t>freq_B3less_O-in_N-out-Step120_P</t>
  </si>
  <si>
    <t>barrier</t>
  </si>
  <si>
    <t>reaction E</t>
  </si>
  <si>
    <t>wrong barrier cos wrong TS found</t>
  </si>
  <si>
    <t>*</t>
  </si>
  <si>
    <t>wB97xd</t>
  </si>
  <si>
    <t>And subsequent denitration</t>
  </si>
  <si>
    <t>Protonated Site</t>
  </si>
  <si>
    <t>Cell</t>
  </si>
  <si>
    <t>NO2+</t>
  </si>
  <si>
    <t>ΔG protonation</t>
  </si>
  <si>
    <t xml:space="preserve">Bridging </t>
  </si>
  <si>
    <t xml:space="preserve">Terminal </t>
  </si>
  <si>
    <t>WB97XD</t>
  </si>
  <si>
    <t>PCM</t>
  </si>
  <si>
    <t>SMD</t>
  </si>
  <si>
    <t>/home/c.sacal5/Scratch/Mech_monomers/proton_site/corrected</t>
  </si>
  <si>
    <t>C2_NC3-CH3_corr-C2H-ON.out</t>
  </si>
  <si>
    <t xml:space="preserve"> SCF Done:  E(RwB97XD) </t>
  </si>
  <si>
    <t xml:space="preserve">  -970.379804786     A.U. after    1 cycles</t>
  </si>
  <si>
    <t xml:space="preserve">                           0.268380 (Hartree/Particle)</t>
  </si>
  <si>
    <t>C2_NC3-CH3_corr-Hcap.out</t>
  </si>
  <si>
    <t xml:space="preserve">  -970.387602126     A.U. after    1 cycles</t>
  </si>
  <si>
    <t xml:space="preserve">                           0.269354 (Hartree/Particle)</t>
  </si>
  <si>
    <t>C2_NC3-CH3_corr-OH_down.out</t>
  </si>
  <si>
    <t xml:space="preserve">  -970.372903461     A.U. after    1 cycles</t>
  </si>
  <si>
    <t xml:space="preserve">                           0.269789 (Hartree/Particle)</t>
  </si>
  <si>
    <t>C2_NC3-CH3_corr-OH_up.out</t>
  </si>
  <si>
    <t xml:space="preserve">  -970.387602117     A.U. after    1 cycles</t>
  </si>
  <si>
    <t>C2_NC3-CH3_corr_HI.out</t>
  </si>
  <si>
    <t xml:space="preserve">  -970.062671043     A.U. after    1 cycles</t>
  </si>
  <si>
    <t xml:space="preserve">                           0.256804 (Hartree/Particle)</t>
  </si>
  <si>
    <t>wb97xd / 6-31+g(2df,p)</t>
  </si>
  <si>
    <t>/home/c.sacal5/Scratch/Mech_monomers/proton_site/corrected/solv</t>
  </si>
  <si>
    <t>s_C2_NC3-CH3_corr-C2H-ON.out</t>
  </si>
  <si>
    <t xml:space="preserve">  -970.462948132     A.U. after    1 cycles</t>
  </si>
  <si>
    <t xml:space="preserve">                           0.264769 (Hartree/Particle)</t>
  </si>
  <si>
    <t>s_C2_NC3-CH3_corr-Hcap.out</t>
  </si>
  <si>
    <t xml:space="preserve">  -970.472890308     A.U. after    1 cycles</t>
  </si>
  <si>
    <t xml:space="preserve">                           0.272976 (Hartree/Particle)</t>
  </si>
  <si>
    <t>s_C2_NC3-CH3_corr-OH_down.out</t>
  </si>
  <si>
    <t xml:space="preserve">  -970.455369574     A.U. after    1 cycles</t>
  </si>
  <si>
    <t xml:space="preserve">                           0.262707 (Hartree/Particle)</t>
  </si>
  <si>
    <t>s_C2_NC3-CH3_corr-OH_up.out</t>
  </si>
  <si>
    <t xml:space="preserve">  -970.451362484     A.U. after    1 cycles</t>
  </si>
  <si>
    <t xml:space="preserve">                           0.281164 (Hartree/Particle)</t>
  </si>
  <si>
    <t>s_C2_NC3-CH3_corr_HI.out</t>
  </si>
  <si>
    <t xml:space="preserve">  -970.079675847     A.U. after    1 cycles</t>
  </si>
  <si>
    <t xml:space="preserve">                           0.255545 (Hartree/Particle)</t>
  </si>
  <si>
    <t>/home/c.sacal5/Scratch/Mech_monomers/proton_site/corrected/B3LYP</t>
  </si>
  <si>
    <t>B3LYP_C2_NC3-CH3_corr-C2H-ON.out</t>
  </si>
  <si>
    <t xml:space="preserve">  -970.671643993     A.U. after    1 cycles</t>
  </si>
  <si>
    <t xml:space="preserve">                           0.263967 (Hartree/Particle)</t>
  </si>
  <si>
    <t>B3LYP_C2_NC3-CH3_corr-Hcap.out</t>
  </si>
  <si>
    <t xml:space="preserve">  -970.677172426     A.U. after    1 cycles</t>
  </si>
  <si>
    <t xml:space="preserve">                           0.264879 (Hartree/Particle)</t>
  </si>
  <si>
    <t>B3LYP_C2_NC3-CH3_corr-OH_down.out</t>
  </si>
  <si>
    <t xml:space="preserve">  -970.662511963     A.U. after    1 cycles</t>
  </si>
  <si>
    <t xml:space="preserve">                           0.265253 (Hartree/Particle)</t>
  </si>
  <si>
    <t>B3LYP_C2_NC3-CH3_corr-OH_up.out</t>
  </si>
  <si>
    <t xml:space="preserve">  -970.677172420     A.U. after    1 cycles</t>
  </si>
  <si>
    <t>B3LYP_C2_NC3-CH3_corr_HI.out</t>
  </si>
  <si>
    <t xml:space="preserve">  -970.355444854     A.U. after    2 cycles</t>
  </si>
  <si>
    <t xml:space="preserve">                           0.253063 (Hartree/Particle)</t>
  </si>
  <si>
    <t>/home/c.sacal5/Scratch/Mech_monomers/proton_site/corrected/B3LYP/solv</t>
  </si>
  <si>
    <t>s_B3LYP_C2_NC3-CH3_corr-C2H-ON.out</t>
  </si>
  <si>
    <t xml:space="preserve">  -970.751785219     A.U. after    1 cycles</t>
  </si>
  <si>
    <t xml:space="preserve">                           0.270048 (Hartree/Particle)</t>
  </si>
  <si>
    <t>s_B3LYP_C2_NC3-CH3_corr-Hcap.out</t>
  </si>
  <si>
    <t xml:space="preserve">  -970.762350295     A.U. after    1 cycles</t>
  </si>
  <si>
    <t xml:space="preserve">                           0.259002 (Hartree/Particle)</t>
  </si>
  <si>
    <t>s_B3LYP_C2_NC3-CH3_corr-OH_down.out</t>
  </si>
  <si>
    <t xml:space="preserve">  -970.744136716     A.U. after    1 cycles</t>
  </si>
  <si>
    <t xml:space="preserve">                           0.260283 (Hartree/Particle)</t>
  </si>
  <si>
    <t>s_B3LYP_C2_NC3-CH3_corr-OH_up.out</t>
  </si>
  <si>
    <t xml:space="preserve">  -970.740260131     A.U. after    1 cycles</t>
  </si>
  <si>
    <t xml:space="preserve">                           0.260765 (Hartree/Particle)</t>
  </si>
  <si>
    <t>s_B3LYP_C2_NC3-CH3_corr_HI.out</t>
  </si>
  <si>
    <t xml:space="preserve">  -970.371927743     A.U. after    1 cycles</t>
  </si>
  <si>
    <t xml:space="preserve">                           0.252175 (Hartree/Particle)</t>
  </si>
  <si>
    <t>/home/c.sacal5/Scratch/Mech_monomers/proton_site/corrected/MP2</t>
  </si>
  <si>
    <t>MP2_C2_NC3-CH3_corr-C2H-ON.out</t>
  </si>
  <si>
    <t xml:space="preserve">  -965.238166173     A.U. after    1 cycles</t>
  </si>
  <si>
    <t xml:space="preserve">                           0.269199 (Hartree/Particle)</t>
  </si>
  <si>
    <t>MP2_C2_NC3-CH3_corr-Hcap.out</t>
  </si>
  <si>
    <t xml:space="preserve">  -965.251333771     A.U. after    1 cycles</t>
  </si>
  <si>
    <t xml:space="preserve">                           0.269959 (Hartree/Particle)</t>
  </si>
  <si>
    <t>MP2_C2_NC3-CH3_corr-OH_down.out</t>
  </si>
  <si>
    <t xml:space="preserve">  -965.243021575     A.U. after    1 cycles</t>
  </si>
  <si>
    <t xml:space="preserve">                           0.270430 (Hartree/Particle)</t>
  </si>
  <si>
    <t>MP2_C2_NC3-CH3_corr-OH_up.out</t>
  </si>
  <si>
    <t xml:space="preserve">  -965.251326539     A.U. after    1 cycles</t>
  </si>
  <si>
    <t>MP2_C2_NC3-CH3_corr_HI.out</t>
  </si>
  <si>
    <t xml:space="preserve">  -964.925243661     A.U. after    1 cycles</t>
  </si>
  <si>
    <t xml:space="preserve">                           0.257635 (Hartree/Particle)</t>
  </si>
  <si>
    <t>/home/c.sacal5/Scratch/Mech_monomers/proton_site/corrected/solv/SMD</t>
  </si>
  <si>
    <t>smd_C2_NC3-CH3_corr-C2H-ON.out</t>
  </si>
  <si>
    <t xml:space="preserve">  -970.484802713     A.U. after    1 cycles</t>
  </si>
  <si>
    <t xml:space="preserve">                           0.271668 (Hartree/Particle)</t>
  </si>
  <si>
    <t>smd_C2_NC3-CH3_corr-Hcap.out</t>
  </si>
  <si>
    <t xml:space="preserve">  -970.495743558     A.U. after    1 cycles</t>
  </si>
  <si>
    <t xml:space="preserve">                           0.266352 (Hartree/Particle)</t>
  </si>
  <si>
    <t>smd_C2_NC3-CH3_corr-OH_down.out</t>
  </si>
  <si>
    <t xml:space="preserve">  -970.477926669     A.U. after    1 cycles</t>
  </si>
  <si>
    <t xml:space="preserve">                           0.267625 (Hartree/Particle)</t>
  </si>
  <si>
    <t>smd_C2_NC3-CH3_corr-OH_up.out</t>
  </si>
  <si>
    <t xml:space="preserve">  -970.473981892     A.U. after    1 cycles</t>
  </si>
  <si>
    <t xml:space="preserve">                           0.266138 (Hartree/Particle)</t>
  </si>
  <si>
    <t>smd_C2_NC3-CH3_corr_HI.out</t>
  </si>
  <si>
    <t xml:space="preserve">  -970.087240463     A.U. after    1 cycles</t>
  </si>
  <si>
    <t xml:space="preserve">                           0.253073 (Hartree/Particle)</t>
  </si>
  <si>
    <t>why does SMD give much lower abs energies?</t>
  </si>
  <si>
    <t>Must consider what this means for solvent!!</t>
  </si>
  <si>
    <t>must have given a completely different geometry to the WB97XD vacuum calc - solvent stabilisation doesn't allow H to fly off to the capping group?</t>
  </si>
  <si>
    <t>More realistic?</t>
  </si>
  <si>
    <t>Now these two are strangely similar</t>
  </si>
  <si>
    <t xml:space="preserve">FACKKKK This says its more likely to be the terminal one, than the bridging, like I saw before. </t>
  </si>
  <si>
    <t>But if you look at the geometry of the briding - the scans totally make sense, because the NO2 looks like it wants to come off anyways.</t>
  </si>
  <si>
    <t xml:space="preserve">This corresponds to some of the cyclic transition states I looked at but not for the bridging scans. </t>
  </si>
  <si>
    <t>Zero-point correction=                           0.021509 (Hartree/Particle)</t>
  </si>
  <si>
    <t xml:space="preserve"> Thermal correction to Energy=                    0.024344</t>
  </si>
  <si>
    <t xml:space="preserve"> Thermal correction to Enthalpy=                  0.025288</t>
  </si>
  <si>
    <t xml:space="preserve"> Thermal correction to Gibbs Free Energy=         0.003861</t>
  </si>
  <si>
    <t xml:space="preserve"> Sum of electronic and zero-point Energies=            -76.266383</t>
  </si>
  <si>
    <t xml:space="preserve"> Sum of electronic and thermal Energies=               -76.263548</t>
  </si>
  <si>
    <t xml:space="preserve"> Sum of electronic and thermal Enthalpies=             -76.262604</t>
  </si>
  <si>
    <t xml:space="preserve"> Sum of electronic and thermal Free Energies=          -76.284031</t>
  </si>
  <si>
    <t>SCF Done:  E(RHF) =  -76.0437259378     A.U. after    1 cycles</t>
  </si>
  <si>
    <t>cont_MP2_s-H20.out</t>
  </si>
  <si>
    <t>Zero-point correction=                           3.406937 (Hartree/Particle)</t>
  </si>
  <si>
    <t xml:space="preserve"> Thermal correction to Energy=                    3.409770</t>
  </si>
  <si>
    <t xml:space="preserve"> Thermal correction to Enthalpy=                  3.410714</t>
  </si>
  <si>
    <t xml:space="preserve"> Thermal correction to Gibbs Free Energy=         3.387821</t>
  </si>
  <si>
    <t xml:space="preserve"> Sum of electronic and zero-point Energies=            -73.268488</t>
  </si>
  <si>
    <t xml:space="preserve"> Sum of electronic and thermal Energies=               -73.265655</t>
  </si>
  <si>
    <t xml:space="preserve"> Sum of electronic and thermal Enthalpies=             -73.264711</t>
  </si>
  <si>
    <t xml:space="preserve"> Sum of electronic and thermal Free Energies=          -73.287603</t>
  </si>
  <si>
    <t>SCF Done:  E(RHF) =  -76.4379873830     A.U. after    1 cycles</t>
  </si>
  <si>
    <t>8.9.2019</t>
  </si>
  <si>
    <t>found out none of my solvent calcs converged. Drama</t>
  </si>
  <si>
    <t>smd</t>
  </si>
  <si>
    <t>unfortunately none were converged…</t>
  </si>
  <si>
    <t>cont_freq_MP2_C2-Hcap_fromcln.out</t>
  </si>
  <si>
    <t>not con</t>
  </si>
  <si>
    <t>cont_MP2_s-H3O.out</t>
  </si>
  <si>
    <t>freq_MP2_s-C2-Hcap_fromcln.out</t>
  </si>
  <si>
    <t>freq_MP2_s-C2H-ON_fromcln.out</t>
  </si>
  <si>
    <t>freq_cont_MP2_s-C2.out</t>
  </si>
  <si>
    <t>Significant diff between DFT and MP2 waters</t>
  </si>
  <si>
    <t>All unconverged</t>
  </si>
  <si>
    <t>:q!</t>
  </si>
  <si>
    <t>NONE OF THESE ARE CONVERGED</t>
  </si>
  <si>
    <t>UNCONVERGED:</t>
  </si>
  <si>
    <t>Unconverged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</si>
</sst>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"/>
    <numFmt numFmtId="166" formatCode="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0" tint="-0.249977111117893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quotePrefix="1" applyBorder="1"/>
    <xf numFmtId="0" fontId="0" fillId="2" borderId="0" xfId="0" applyFill="1"/>
    <xf numFmtId="0" fontId="1" fillId="2" borderId="0" xfId="0" applyFont="1" applyFill="1"/>
    <xf numFmtId="0" fontId="0" fillId="0" borderId="6" xfId="0" applyBorder="1"/>
    <xf numFmtId="0" fontId="1" fillId="0" borderId="5" xfId="0" applyFont="1" applyBorder="1"/>
    <xf numFmtId="0" fontId="0" fillId="0" borderId="0" xfId="0" applyBorder="1"/>
    <xf numFmtId="0" fontId="0" fillId="0" borderId="0" xfId="0" applyFont="1"/>
    <xf numFmtId="0" fontId="0" fillId="0" borderId="0" xfId="0" quotePrefix="1" applyBorder="1"/>
    <xf numFmtId="0" fontId="1" fillId="0" borderId="0" xfId="0" applyFont="1" applyBorder="1"/>
    <xf numFmtId="0" fontId="0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Font="1"/>
    <xf numFmtId="164" fontId="1" fillId="0" borderId="0" xfId="0" applyNumberFormat="1" applyFont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2" xfId="0" applyNumberFormat="1" applyBorder="1"/>
    <xf numFmtId="164" fontId="0" fillId="0" borderId="6" xfId="0" applyNumberFormat="1" applyBorder="1"/>
    <xf numFmtId="164" fontId="0" fillId="0" borderId="2" xfId="0" quotePrefix="1" applyNumberFormat="1" applyBorder="1"/>
    <xf numFmtId="164" fontId="1" fillId="0" borderId="5" xfId="0" applyNumberFormat="1" applyFont="1" applyBorder="1"/>
    <xf numFmtId="164" fontId="2" fillId="0" borderId="0" xfId="0" applyNumberFormat="1" applyFont="1"/>
    <xf numFmtId="164" fontId="0" fillId="0" borderId="0" xfId="0" quotePrefix="1" applyNumberFormat="1" applyBorder="1"/>
    <xf numFmtId="164" fontId="1" fillId="0" borderId="3" xfId="0" applyNumberFormat="1" applyFont="1" applyBorder="1"/>
    <xf numFmtId="0" fontId="3" fillId="0" borderId="0" xfId="0" applyFont="1" applyBorder="1"/>
    <xf numFmtId="0" fontId="4" fillId="0" borderId="0" xfId="0" applyFont="1"/>
    <xf numFmtId="0" fontId="0" fillId="0" borderId="7" xfId="0" applyBorder="1"/>
    <xf numFmtId="164" fontId="1" fillId="0" borderId="0" xfId="0" applyNumberFormat="1" applyFont="1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1" fillId="0" borderId="9" xfId="0" applyNumberFormat="1" applyFon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64" fontId="0" fillId="0" borderId="11" xfId="0" quotePrefix="1" applyNumberFormat="1" applyBorder="1"/>
    <xf numFmtId="164" fontId="3" fillId="0" borderId="11" xfId="0" applyNumberFormat="1" applyFont="1" applyBorder="1"/>
    <xf numFmtId="164" fontId="5" fillId="0" borderId="0" xfId="0" applyNumberFormat="1" applyFont="1" applyBorder="1"/>
    <xf numFmtId="0" fontId="5" fillId="0" borderId="0" xfId="0" applyFont="1" applyBorder="1"/>
    <xf numFmtId="0" fontId="0" fillId="3" borderId="0" xfId="0" applyFill="1"/>
    <xf numFmtId="165" fontId="0" fillId="3" borderId="0" xfId="0" applyNumberFormat="1" applyFill="1"/>
    <xf numFmtId="165" fontId="7" fillId="0" borderId="0" xfId="0" applyNumberFormat="1" applyFont="1"/>
    <xf numFmtId="164" fontId="0" fillId="0" borderId="12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0" fontId="0" fillId="4" borderId="0" xfId="0" applyFill="1"/>
    <xf numFmtId="0" fontId="1" fillId="4" borderId="0" xfId="0" applyFont="1" applyFill="1" applyBorder="1"/>
    <xf numFmtId="164" fontId="0" fillId="4" borderId="0" xfId="0" applyNumberFormat="1" applyFill="1" applyBorder="1"/>
    <xf numFmtId="164" fontId="1" fillId="0" borderId="11" xfId="0" applyNumberFormat="1" applyFont="1" applyBorder="1"/>
    <xf numFmtId="164" fontId="0" fillId="4" borderId="11" xfId="0" applyNumberFormat="1" applyFill="1" applyBorder="1"/>
    <xf numFmtId="164" fontId="0" fillId="4" borderId="9" xfId="0" applyNumberFormat="1" applyFill="1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15" xfId="0" applyBorder="1"/>
    <xf numFmtId="0" fontId="0" fillId="4" borderId="2" xfId="0" applyFill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8" fillId="0" borderId="0" xfId="1"/>
    <xf numFmtId="0" fontId="9" fillId="0" borderId="0" xfId="0" applyFont="1"/>
    <xf numFmtId="0" fontId="9" fillId="0" borderId="0" xfId="0" applyFont="1" applyBorder="1"/>
    <xf numFmtId="0" fontId="0" fillId="12" borderId="0" xfId="0" applyFill="1"/>
    <xf numFmtId="0" fontId="0" fillId="12" borderId="2" xfId="0" applyFill="1" applyBorder="1"/>
    <xf numFmtId="0" fontId="0" fillId="12" borderId="0" xfId="0" applyFill="1" applyBorder="1"/>
    <xf numFmtId="164" fontId="0" fillId="12" borderId="0" xfId="0" applyNumberFormat="1" applyFill="1" applyBorder="1"/>
    <xf numFmtId="164" fontId="0" fillId="12" borderId="9" xfId="0" applyNumberFormat="1" applyFill="1" applyBorder="1"/>
    <xf numFmtId="164" fontId="0" fillId="12" borderId="0" xfId="0" applyNumberFormat="1" applyFill="1"/>
    <xf numFmtId="164" fontId="0" fillId="12" borderId="2" xfId="0" applyNumberFormat="1" applyFill="1" applyBorder="1"/>
    <xf numFmtId="164" fontId="0" fillId="12" borderId="11" xfId="0" applyNumberFormat="1" applyFill="1" applyBorder="1"/>
    <xf numFmtId="0" fontId="0" fillId="0" borderId="9" xfId="0" quotePrefix="1" applyBorder="1"/>
    <xf numFmtId="164" fontId="5" fillId="0" borderId="9" xfId="0" applyNumberFormat="1" applyFont="1" applyBorder="1"/>
    <xf numFmtId="0" fontId="5" fillId="0" borderId="9" xfId="0" applyFont="1" applyBorder="1"/>
    <xf numFmtId="0" fontId="0" fillId="12" borderId="9" xfId="0" applyFill="1" applyBorder="1"/>
    <xf numFmtId="165" fontId="1" fillId="0" borderId="0" xfId="0" applyNumberFormat="1" applyFont="1" applyBorder="1"/>
    <xf numFmtId="0" fontId="1" fillId="0" borderId="15" xfId="0" applyFont="1" applyBorder="1"/>
    <xf numFmtId="0" fontId="0" fillId="0" borderId="10" xfId="0" applyFill="1" applyBorder="1" applyAlignment="1">
      <alignment vertical="top"/>
    </xf>
    <xf numFmtId="0" fontId="0" fillId="0" borderId="12" xfId="0" applyFill="1" applyBorder="1" applyAlignment="1">
      <alignment vertical="top"/>
    </xf>
    <xf numFmtId="164" fontId="0" fillId="0" borderId="12" xfId="0" applyNumberFormat="1" applyFill="1" applyBorder="1" applyAlignment="1">
      <alignment vertical="top"/>
    </xf>
    <xf numFmtId="0" fontId="0" fillId="0" borderId="11" xfId="0" applyFill="1" applyBorder="1" applyAlignment="1">
      <alignment vertical="top"/>
    </xf>
    <xf numFmtId="0" fontId="0" fillId="0" borderId="8" xfId="0" applyFill="1" applyBorder="1" applyAlignment="1">
      <alignment vertical="top"/>
    </xf>
    <xf numFmtId="0" fontId="0" fillId="0" borderId="14" xfId="0" applyFill="1" applyBorder="1" applyAlignment="1">
      <alignment vertical="top"/>
    </xf>
    <xf numFmtId="0" fontId="0" fillId="0" borderId="13" xfId="0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7" xfId="0" applyFill="1" applyBorder="1" applyAlignment="1">
      <alignment vertical="top"/>
    </xf>
    <xf numFmtId="164" fontId="1" fillId="0" borderId="5" xfId="0" applyNumberFormat="1" applyFont="1" applyFill="1" applyBorder="1" applyAlignment="1">
      <alignment vertical="top"/>
    </xf>
    <xf numFmtId="164" fontId="0" fillId="0" borderId="11" xfId="0" applyNumberFormat="1" applyFill="1" applyBorder="1" applyAlignment="1">
      <alignment vertical="top"/>
    </xf>
    <xf numFmtId="0" fontId="0" fillId="11" borderId="8" xfId="0" applyFill="1" applyBorder="1" applyAlignment="1">
      <alignment vertical="top"/>
    </xf>
    <xf numFmtId="164" fontId="1" fillId="11" borderId="4" xfId="0" applyNumberFormat="1" applyFont="1" applyFill="1" applyBorder="1" applyAlignment="1">
      <alignment vertical="top"/>
    </xf>
    <xf numFmtId="164" fontId="0" fillId="11" borderId="9" xfId="0" applyNumberFormat="1" applyFill="1" applyBorder="1" applyAlignment="1">
      <alignment vertical="top"/>
    </xf>
    <xf numFmtId="164" fontId="0" fillId="11" borderId="14" xfId="0" applyNumberFormat="1" applyFill="1" applyBorder="1" applyAlignment="1">
      <alignment vertical="top"/>
    </xf>
    <xf numFmtId="164" fontId="1" fillId="0" borderId="3" xfId="0" applyNumberFormat="1" applyFont="1" applyFill="1" applyBorder="1" applyAlignment="1">
      <alignment vertical="top"/>
    </xf>
    <xf numFmtId="164" fontId="0" fillId="0" borderId="0" xfId="0" applyNumberFormat="1" applyFill="1" applyBorder="1" applyAlignment="1">
      <alignment vertical="top"/>
    </xf>
    <xf numFmtId="164" fontId="0" fillId="0" borderId="13" xfId="0" applyNumberFormat="1" applyFill="1" applyBorder="1" applyAlignment="1">
      <alignment vertical="top"/>
    </xf>
    <xf numFmtId="0" fontId="0" fillId="0" borderId="16" xfId="0" applyBorder="1"/>
    <xf numFmtId="164" fontId="0" fillId="0" borderId="17" xfId="0" applyNumberFormat="1" applyBorder="1"/>
    <xf numFmtId="164" fontId="1" fillId="0" borderId="17" xfId="0" applyNumberFormat="1" applyFont="1" applyBorder="1"/>
    <xf numFmtId="164" fontId="0" fillId="12" borderId="17" xfId="0" applyNumberFormat="1" applyFill="1" applyBorder="1"/>
    <xf numFmtId="166" fontId="0" fillId="0" borderId="11" xfId="0" applyNumberFormat="1" applyBorder="1"/>
    <xf numFmtId="166" fontId="0" fillId="4" borderId="11" xfId="0" applyNumberFormat="1" applyFill="1" applyBorder="1"/>
    <xf numFmtId="166" fontId="0" fillId="0" borderId="12" xfId="0" applyNumberFormat="1" applyBorder="1"/>
    <xf numFmtId="166" fontId="0" fillId="0" borderId="9" xfId="0" applyNumberFormat="1" applyBorder="1"/>
    <xf numFmtId="166" fontId="0" fillId="4" borderId="9" xfId="0" applyNumberFormat="1" applyFill="1" applyBorder="1"/>
    <xf numFmtId="166" fontId="0" fillId="0" borderId="14" xfId="0" applyNumberFormat="1" applyBorder="1"/>
    <xf numFmtId="166" fontId="0" fillId="0" borderId="0" xfId="0" applyNumberFormat="1" applyBorder="1"/>
    <xf numFmtId="166" fontId="0" fillId="4" borderId="0" xfId="0" applyNumberFormat="1" applyFill="1" applyBorder="1"/>
    <xf numFmtId="166" fontId="0" fillId="0" borderId="13" xfId="0" applyNumberFormat="1" applyBorder="1"/>
    <xf numFmtId="166" fontId="0" fillId="0" borderId="17" xfId="0" applyNumberFormat="1" applyBorder="1"/>
    <xf numFmtId="166" fontId="0" fillId="4" borderId="17" xfId="0" applyNumberFormat="1" applyFill="1" applyBorder="1"/>
    <xf numFmtId="166" fontId="0" fillId="0" borderId="18" xfId="0" applyNumberFormat="1" applyBorder="1"/>
    <xf numFmtId="165" fontId="0" fillId="0" borderId="1" xfId="0" applyNumberFormat="1" applyBorder="1"/>
    <xf numFmtId="165" fontId="0" fillId="0" borderId="6" xfId="0" applyNumberFormat="1" applyBorder="1"/>
    <xf numFmtId="165" fontId="0" fillId="0" borderId="2" xfId="0" applyNumberFormat="1" applyBorder="1"/>
    <xf numFmtId="165" fontId="10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/>
    <xf numFmtId="164" fontId="0" fillId="0" borderId="5" xfId="0" applyNumberFormat="1" applyBorder="1"/>
    <xf numFmtId="0" fontId="0" fillId="0" borderId="11" xfId="0" quotePrefix="1" applyBorder="1"/>
    <xf numFmtId="164" fontId="5" fillId="0" borderId="11" xfId="0" applyNumberFormat="1" applyFont="1" applyBorder="1"/>
    <xf numFmtId="0" fontId="5" fillId="0" borderId="11" xfId="0" applyFont="1" applyBorder="1"/>
    <xf numFmtId="0" fontId="0" fillId="12" borderId="11" xfId="0" applyFill="1" applyBorder="1"/>
    <xf numFmtId="164" fontId="11" fillId="0" borderId="5" xfId="0" applyNumberFormat="1" applyFont="1" applyBorder="1"/>
    <xf numFmtId="164" fontId="11" fillId="0" borderId="3" xfId="0" applyNumberFormat="1" applyFont="1" applyBorder="1"/>
    <xf numFmtId="0" fontId="10" fillId="0" borderId="0" xfId="0" applyFont="1" applyBorder="1"/>
    <xf numFmtId="164" fontId="10" fillId="0" borderId="0" xfId="0" applyNumberFormat="1" applyFont="1" applyBorder="1"/>
    <xf numFmtId="0" fontId="10" fillId="0" borderId="0" xfId="0" applyFont="1"/>
    <xf numFmtId="164" fontId="12" fillId="0" borderId="0" xfId="0" applyNumberFormat="1" applyFont="1" applyBorder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_Energies_3" connectionId="3" xr16:uid="{00000000-0016-0000-0000-000003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_Energies_1" connectionId="1" xr16:uid="{00000000-0016-0000-0000-000002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_Energies_2" connectionId="2" xr16:uid="{00000000-0016-0000-0000-000001000000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_Energies_5" connectionId="5" xr16:uid="{00000000-0016-0000-0000-000000000000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_Energies_4" connectionId="4" xr16:uid="{00000000-0016-0000-0000-000004000000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_Energies_6" connectionId="6" xr16:uid="{00000000-0016-0000-0100-000005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cccbdb.nist.gov/energy3x.asp?method=60&amp;basis=4&amp;charge=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cccbdb.nist.gov/energy3x.asp?method=60&amp;basis=4&amp;char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workbookViewId="0"/>
    <sheetView workbookViewId="1"/>
  </sheetViews>
  <sheetFormatPr defaultRowHeight="14.4" x14ac:dyDescent="0.3"/>
  <cols>
    <col min="1" max="1" width="42.33203125" customWidth="1"/>
    <col min="2" max="2" width="4.6640625" customWidth="1"/>
    <col min="3" max="3" width="25.44140625" style="15" bestFit="1" customWidth="1"/>
    <col min="7" max="7" width="42.33203125" style="5" bestFit="1" customWidth="1"/>
    <col min="8" max="8" width="4.6640625" customWidth="1"/>
    <col min="9" max="9" width="25.33203125" style="15" bestFit="1" customWidth="1"/>
    <col min="11" max="13" width="14.6640625" customWidth="1"/>
    <col min="14" max="14" width="38.6640625" customWidth="1"/>
    <col min="16" max="16" width="11.6640625" bestFit="1" customWidth="1"/>
  </cols>
  <sheetData>
    <row r="1" spans="1:17" x14ac:dyDescent="0.3">
      <c r="A1" t="s">
        <v>0</v>
      </c>
      <c r="C1" s="1" t="s">
        <v>118</v>
      </c>
    </row>
    <row r="2" spans="1:17" x14ac:dyDescent="0.3">
      <c r="A2" s="1" t="s">
        <v>25</v>
      </c>
      <c r="G2" s="6" t="s">
        <v>49</v>
      </c>
      <c r="K2" s="45" t="s">
        <v>81</v>
      </c>
    </row>
    <row r="3" spans="1:17" x14ac:dyDescent="0.3">
      <c r="A3" s="10" t="s">
        <v>65</v>
      </c>
      <c r="G3" s="6" t="s">
        <v>129</v>
      </c>
      <c r="K3" s="15" t="s">
        <v>82</v>
      </c>
      <c r="N3" s="1" t="s">
        <v>80</v>
      </c>
    </row>
    <row r="4" spans="1:17" x14ac:dyDescent="0.3">
      <c r="A4" s="10" t="s">
        <v>66</v>
      </c>
      <c r="B4" s="10"/>
      <c r="C4" s="16"/>
      <c r="D4" s="10"/>
      <c r="E4" s="10"/>
      <c r="F4" s="10"/>
      <c r="G4" s="13" t="s">
        <v>97</v>
      </c>
      <c r="H4" s="10"/>
      <c r="K4" s="15"/>
      <c r="L4" s="10"/>
      <c r="N4" s="13" t="s">
        <v>79</v>
      </c>
    </row>
    <row r="5" spans="1:17" x14ac:dyDescent="0.3">
      <c r="A5" s="10" t="s">
        <v>67</v>
      </c>
      <c r="B5" s="10"/>
      <c r="C5" s="16">
        <v>-970.37932271099999</v>
      </c>
      <c r="D5" s="10" t="s">
        <v>68</v>
      </c>
      <c r="E5" s="10"/>
      <c r="F5" s="10"/>
      <c r="G5" s="13" t="s">
        <v>72</v>
      </c>
      <c r="H5" s="10"/>
      <c r="I5" s="15">
        <v>-970.46405177500003</v>
      </c>
      <c r="K5" s="16">
        <v>-970.37378252099995</v>
      </c>
      <c r="L5" s="10" t="s">
        <v>68</v>
      </c>
      <c r="N5" s="13" t="s">
        <v>72</v>
      </c>
      <c r="O5" s="10"/>
      <c r="P5" s="16">
        <v>-970.37932232699995</v>
      </c>
      <c r="Q5" s="10" t="s">
        <v>68</v>
      </c>
    </row>
    <row r="6" spans="1:17" x14ac:dyDescent="0.3">
      <c r="A6" s="10" t="s">
        <v>32</v>
      </c>
      <c r="B6" s="10"/>
      <c r="C6" s="16">
        <v>0.27046599999999998</v>
      </c>
      <c r="D6" s="10" t="s">
        <v>14</v>
      </c>
      <c r="E6" s="10"/>
      <c r="F6" s="10"/>
      <c r="G6" s="13" t="s">
        <v>73</v>
      </c>
      <c r="H6" s="10"/>
      <c r="I6" s="15">
        <v>0.26985399999999998</v>
      </c>
      <c r="K6" s="16">
        <v>0.26816000000000001</v>
      </c>
      <c r="L6" s="10" t="s">
        <v>14</v>
      </c>
      <c r="N6" s="13" t="s">
        <v>73</v>
      </c>
      <c r="O6" s="10"/>
      <c r="P6" s="16">
        <v>0.27047399999999999</v>
      </c>
      <c r="Q6" s="10" t="s">
        <v>14</v>
      </c>
    </row>
    <row r="7" spans="1:17" x14ac:dyDescent="0.3">
      <c r="A7" s="10" t="s">
        <v>34</v>
      </c>
      <c r="B7" s="10"/>
      <c r="C7" s="16">
        <v>0.28854200000000002</v>
      </c>
      <c r="D7" s="10"/>
      <c r="E7" s="10"/>
      <c r="F7" s="10"/>
      <c r="G7" s="13" t="s">
        <v>34</v>
      </c>
      <c r="H7" s="10"/>
      <c r="I7" s="16">
        <v>0.28751599999999999</v>
      </c>
      <c r="J7" s="10"/>
      <c r="N7" s="13" t="s">
        <v>34</v>
      </c>
      <c r="O7" s="10"/>
      <c r="P7" s="16">
        <v>0.288549</v>
      </c>
      <c r="Q7" s="10"/>
    </row>
    <row r="8" spans="1:17" x14ac:dyDescent="0.3">
      <c r="A8" s="10" t="s">
        <v>69</v>
      </c>
      <c r="B8" s="10"/>
      <c r="C8" s="16">
        <v>0.28948600000000002</v>
      </c>
      <c r="D8" s="10"/>
      <c r="E8" s="10"/>
      <c r="F8" s="10"/>
      <c r="G8" s="13" t="s">
        <v>69</v>
      </c>
      <c r="H8" s="10"/>
      <c r="I8" s="16">
        <v>0.28845999999999999</v>
      </c>
      <c r="J8" s="10"/>
      <c r="N8" s="13" t="s">
        <v>69</v>
      </c>
      <c r="O8" s="10"/>
      <c r="P8" s="16">
        <v>0.289493</v>
      </c>
      <c r="Q8" s="10"/>
    </row>
    <row r="9" spans="1:17" x14ac:dyDescent="0.3">
      <c r="A9" s="10" t="s">
        <v>46</v>
      </c>
      <c r="B9" s="10"/>
      <c r="C9" s="16">
        <v>0.22362000000000001</v>
      </c>
      <c r="D9" s="10"/>
      <c r="E9" s="10"/>
      <c r="F9" s="10"/>
      <c r="G9" s="13" t="s">
        <v>74</v>
      </c>
      <c r="H9" s="10"/>
      <c r="I9" s="16">
        <v>0.221945</v>
      </c>
      <c r="J9" s="10"/>
      <c r="N9" s="13" t="s">
        <v>74</v>
      </c>
      <c r="O9" s="10"/>
      <c r="P9" s="16">
        <v>0.22362299999999999</v>
      </c>
      <c r="Q9" s="10"/>
    </row>
    <row r="10" spans="1:17" x14ac:dyDescent="0.3">
      <c r="A10" s="10" t="s">
        <v>37</v>
      </c>
      <c r="B10" s="10"/>
      <c r="C10" s="16">
        <v>-970.10885599999995</v>
      </c>
      <c r="D10" s="10"/>
      <c r="E10" s="10"/>
      <c r="F10" s="10"/>
      <c r="G10" s="13" t="s">
        <v>37</v>
      </c>
      <c r="H10" s="10"/>
      <c r="I10" s="16">
        <v>-970.19419700000003</v>
      </c>
      <c r="J10" s="10"/>
      <c r="N10" s="13" t="s">
        <v>37</v>
      </c>
      <c r="O10" s="10"/>
      <c r="P10" s="16">
        <v>-970.10884799999997</v>
      </c>
      <c r="Q10" s="10"/>
    </row>
    <row r="11" spans="1:17" x14ac:dyDescent="0.3">
      <c r="A11" s="10" t="s">
        <v>38</v>
      </c>
      <c r="B11" s="10"/>
      <c r="C11" s="16">
        <v>-970.09078099999999</v>
      </c>
      <c r="D11" s="10"/>
      <c r="E11" s="10"/>
      <c r="F11" s="10"/>
      <c r="G11" s="13" t="s">
        <v>75</v>
      </c>
      <c r="H11" s="10"/>
      <c r="I11" s="16">
        <v>-970.17653600000006</v>
      </c>
      <c r="J11" s="10"/>
      <c r="N11" s="13" t="s">
        <v>75</v>
      </c>
      <c r="O11" s="10"/>
      <c r="P11" s="16">
        <v>-970.09077300000001</v>
      </c>
      <c r="Q11" s="10"/>
    </row>
    <row r="12" spans="1:17" x14ac:dyDescent="0.3">
      <c r="A12" s="10" t="s">
        <v>70</v>
      </c>
      <c r="B12" s="10"/>
      <c r="C12" s="16">
        <v>-970.08983599999999</v>
      </c>
      <c r="D12" s="10"/>
      <c r="E12" s="10"/>
      <c r="F12" s="10"/>
      <c r="G12" s="13" t="s">
        <v>70</v>
      </c>
      <c r="H12" s="10"/>
      <c r="I12" s="16">
        <v>-970.17559200000005</v>
      </c>
      <c r="J12" s="10"/>
      <c r="N12" s="13" t="s">
        <v>70</v>
      </c>
      <c r="O12" s="10"/>
      <c r="P12" s="16">
        <v>-970.08982900000001</v>
      </c>
      <c r="Q12" s="10"/>
    </row>
    <row r="13" spans="1:17" x14ac:dyDescent="0.3">
      <c r="A13" s="10" t="s">
        <v>71</v>
      </c>
      <c r="B13" s="10"/>
      <c r="C13" s="16">
        <v>-970.15570300000002</v>
      </c>
      <c r="D13" s="10"/>
      <c r="E13" s="10"/>
      <c r="F13" s="10"/>
      <c r="G13" s="13" t="s">
        <v>40</v>
      </c>
      <c r="H13" s="10"/>
      <c r="I13" s="16">
        <v>-970.24210700000003</v>
      </c>
      <c r="J13" s="10"/>
      <c r="N13" s="13" t="s">
        <v>40</v>
      </c>
      <c r="O13" s="10"/>
      <c r="P13" s="16">
        <v>-970.15570000000002</v>
      </c>
      <c r="Q13" s="10"/>
    </row>
    <row r="14" spans="1:17" x14ac:dyDescent="0.3">
      <c r="A14" s="10"/>
      <c r="B14" s="10"/>
      <c r="C14" s="16"/>
      <c r="D14" s="10"/>
      <c r="E14" s="10"/>
      <c r="F14" s="10"/>
      <c r="G14" s="13"/>
      <c r="H14" s="10"/>
      <c r="I14" s="16"/>
      <c r="J14" s="10"/>
    </row>
    <row r="15" spans="1:17" x14ac:dyDescent="0.3">
      <c r="A15" t="s">
        <v>15</v>
      </c>
    </row>
    <row r="16" spans="1:17" x14ac:dyDescent="0.3">
      <c r="A16" t="s">
        <v>1</v>
      </c>
      <c r="G16" s="5" t="s">
        <v>119</v>
      </c>
    </row>
    <row r="17" spans="1:10" x14ac:dyDescent="0.3">
      <c r="A17" t="s">
        <v>2</v>
      </c>
      <c r="B17" t="s">
        <v>3</v>
      </c>
      <c r="C17" s="15" t="s">
        <v>4</v>
      </c>
      <c r="G17" s="5" t="s">
        <v>13</v>
      </c>
      <c r="H17" t="s">
        <v>3</v>
      </c>
      <c r="I17" s="15" t="s">
        <v>4</v>
      </c>
    </row>
    <row r="18" spans="1:10" x14ac:dyDescent="0.3">
      <c r="A18" t="s">
        <v>5</v>
      </c>
      <c r="C18" s="15">
        <v>0.27013199999999998</v>
      </c>
      <c r="D18" t="s">
        <v>14</v>
      </c>
      <c r="G18" s="5" t="s">
        <v>5</v>
      </c>
      <c r="I18" s="15">
        <v>0.26997399999999999</v>
      </c>
      <c r="J18" t="s">
        <v>14</v>
      </c>
    </row>
    <row r="19" spans="1:10" x14ac:dyDescent="0.3">
      <c r="A19" t="s">
        <v>6</v>
      </c>
      <c r="C19" s="15">
        <v>0.28835300000000003</v>
      </c>
      <c r="G19" s="5" t="s">
        <v>6</v>
      </c>
      <c r="I19" s="15">
        <v>0.28841099999999997</v>
      </c>
    </row>
    <row r="20" spans="1:10" x14ac:dyDescent="0.3">
      <c r="A20" t="s">
        <v>7</v>
      </c>
      <c r="C20" s="15">
        <v>0.28929700000000003</v>
      </c>
      <c r="G20" s="5" t="s">
        <v>7</v>
      </c>
      <c r="I20" s="15">
        <v>0.289356</v>
      </c>
    </row>
    <row r="21" spans="1:10" x14ac:dyDescent="0.3">
      <c r="A21" t="s">
        <v>8</v>
      </c>
      <c r="C21" s="15">
        <v>0.22289999999999999</v>
      </c>
      <c r="G21" s="5" t="s">
        <v>8</v>
      </c>
      <c r="I21" s="15">
        <v>0.22256699999999999</v>
      </c>
    </row>
    <row r="22" spans="1:10" x14ac:dyDescent="0.3">
      <c r="A22" t="s">
        <v>9</v>
      </c>
      <c r="C22" s="15">
        <v>-970.10917600000005</v>
      </c>
      <c r="G22" s="5" t="s">
        <v>9</v>
      </c>
      <c r="I22" s="15">
        <v>-970.19407799999999</v>
      </c>
    </row>
    <row r="23" spans="1:10" x14ac:dyDescent="0.3">
      <c r="A23" t="s">
        <v>10</v>
      </c>
      <c r="C23" s="15">
        <v>-970.09095500000001</v>
      </c>
      <c r="G23" s="5" t="s">
        <v>10</v>
      </c>
      <c r="I23" s="15">
        <v>-970.17564000000004</v>
      </c>
    </row>
    <row r="24" spans="1:10" x14ac:dyDescent="0.3">
      <c r="A24" t="s">
        <v>11</v>
      </c>
      <c r="C24" s="15">
        <v>-970.09001000000001</v>
      </c>
      <c r="G24" s="5" t="s">
        <v>11</v>
      </c>
      <c r="I24" s="15">
        <v>-970.17469600000004</v>
      </c>
    </row>
    <row r="25" spans="1:10" x14ac:dyDescent="0.3">
      <c r="A25" t="s">
        <v>12</v>
      </c>
      <c r="C25" s="15">
        <v>-970.15640699999994</v>
      </c>
      <c r="G25" s="5" t="s">
        <v>12</v>
      </c>
      <c r="I25" s="15">
        <v>-970.24148500000001</v>
      </c>
    </row>
    <row r="27" spans="1:10" x14ac:dyDescent="0.3">
      <c r="A27" t="s">
        <v>64</v>
      </c>
    </row>
    <row r="28" spans="1:10" x14ac:dyDescent="0.3">
      <c r="A28" t="s">
        <v>44</v>
      </c>
      <c r="G28" s="5" t="s">
        <v>44</v>
      </c>
    </row>
    <row r="29" spans="1:10" x14ac:dyDescent="0.3">
      <c r="G29" s="5" t="s">
        <v>58</v>
      </c>
      <c r="H29" t="s">
        <v>3</v>
      </c>
      <c r="I29" s="15" t="s">
        <v>4</v>
      </c>
    </row>
    <row r="30" spans="1:10" x14ac:dyDescent="0.3">
      <c r="A30" t="s">
        <v>32</v>
      </c>
      <c r="C30" s="15" t="s">
        <v>45</v>
      </c>
      <c r="G30" s="5" t="s">
        <v>5</v>
      </c>
      <c r="I30" s="15" t="s">
        <v>59</v>
      </c>
    </row>
    <row r="31" spans="1:10" x14ac:dyDescent="0.3">
      <c r="A31" t="s">
        <v>34</v>
      </c>
      <c r="C31" s="15">
        <v>0.28822500000000001</v>
      </c>
      <c r="G31" s="5" t="s">
        <v>6</v>
      </c>
      <c r="I31" s="15">
        <v>0.28811599999999998</v>
      </c>
    </row>
    <row r="32" spans="1:10" x14ac:dyDescent="0.3">
      <c r="A32" t="s">
        <v>35</v>
      </c>
      <c r="C32" s="15">
        <v>0.28916900000000001</v>
      </c>
      <c r="G32" s="5" t="s">
        <v>7</v>
      </c>
      <c r="I32" s="15">
        <v>0.28905999999999998</v>
      </c>
    </row>
    <row r="33" spans="1:9" x14ac:dyDescent="0.3">
      <c r="A33" t="s">
        <v>46</v>
      </c>
      <c r="C33" s="15">
        <v>0.22352900000000001</v>
      </c>
      <c r="G33" s="5" t="s">
        <v>8</v>
      </c>
      <c r="I33" s="15">
        <v>0.22298000000000001</v>
      </c>
    </row>
    <row r="34" spans="1:9" x14ac:dyDescent="0.3">
      <c r="A34" t="s">
        <v>47</v>
      </c>
      <c r="C34" s="15">
        <v>-970.09761500000002</v>
      </c>
      <c r="G34" s="5" t="s">
        <v>9</v>
      </c>
      <c r="I34" s="15">
        <v>-970.18021799999997</v>
      </c>
    </row>
    <row r="35" spans="1:9" x14ac:dyDescent="0.3">
      <c r="A35" t="s">
        <v>38</v>
      </c>
      <c r="C35" s="15">
        <v>-970.07940599999995</v>
      </c>
      <c r="G35" s="5" t="s">
        <v>10</v>
      </c>
      <c r="I35" s="15">
        <v>-970.16184799999996</v>
      </c>
    </row>
    <row r="36" spans="1:9" x14ac:dyDescent="0.3">
      <c r="A36" t="s">
        <v>39</v>
      </c>
      <c r="C36" s="15">
        <v>-970.07846199999994</v>
      </c>
      <c r="G36" s="5" t="s">
        <v>11</v>
      </c>
      <c r="I36" s="15">
        <v>-970.16090299999996</v>
      </c>
    </row>
    <row r="37" spans="1:9" x14ac:dyDescent="0.3">
      <c r="A37" t="s">
        <v>40</v>
      </c>
      <c r="C37" s="15">
        <v>-970.14410199999998</v>
      </c>
      <c r="G37" s="5" t="s">
        <v>12</v>
      </c>
      <c r="I37" s="15">
        <v>-970.22698300000002</v>
      </c>
    </row>
    <row r="39" spans="1:9" s="43" customFormat="1" x14ac:dyDescent="0.3">
      <c r="C39" s="44"/>
      <c r="I39" s="44"/>
    </row>
    <row r="40" spans="1:9" x14ac:dyDescent="0.3">
      <c r="C40" s="15" t="s">
        <v>122</v>
      </c>
    </row>
    <row r="41" spans="1:9" x14ac:dyDescent="0.3">
      <c r="A41" t="s">
        <v>16</v>
      </c>
      <c r="G41" s="5" t="s">
        <v>16</v>
      </c>
    </row>
    <row r="42" spans="1:9" x14ac:dyDescent="0.3">
      <c r="A42" t="s">
        <v>17</v>
      </c>
      <c r="B42" t="s">
        <v>3</v>
      </c>
      <c r="C42" s="15" t="s">
        <v>4</v>
      </c>
      <c r="G42" s="5" t="s">
        <v>52</v>
      </c>
      <c r="H42" t="s">
        <v>3</v>
      </c>
      <c r="I42" s="15" t="s">
        <v>4</v>
      </c>
    </row>
    <row r="43" spans="1:9" x14ac:dyDescent="0.3">
      <c r="A43" t="s">
        <v>5</v>
      </c>
      <c r="C43" s="15" t="s">
        <v>18</v>
      </c>
      <c r="G43" s="5" t="s">
        <v>5</v>
      </c>
      <c r="I43" s="15" t="s">
        <v>53</v>
      </c>
    </row>
    <row r="44" spans="1:9" x14ac:dyDescent="0.3">
      <c r="A44" t="s">
        <v>6</v>
      </c>
      <c r="C44" s="15">
        <v>2.4573999999999999E-2</v>
      </c>
      <c r="G44" s="5" t="s">
        <v>6</v>
      </c>
      <c r="I44" s="15">
        <v>2.4421000000000002E-2</v>
      </c>
    </row>
    <row r="45" spans="1:9" x14ac:dyDescent="0.3">
      <c r="A45" t="s">
        <v>7</v>
      </c>
      <c r="C45" s="15">
        <v>2.5519E-2</v>
      </c>
      <c r="G45" s="5" t="s">
        <v>7</v>
      </c>
      <c r="I45" s="15">
        <v>2.5364999999999999E-2</v>
      </c>
    </row>
    <row r="46" spans="1:9" x14ac:dyDescent="0.3">
      <c r="A46" t="s">
        <v>8</v>
      </c>
      <c r="C46" s="15">
        <v>4.1099999999999999E-3</v>
      </c>
      <c r="G46" s="5" t="s">
        <v>8</v>
      </c>
      <c r="I46" s="15">
        <v>3.9480000000000001E-3</v>
      </c>
    </row>
    <row r="47" spans="1:9" x14ac:dyDescent="0.3">
      <c r="A47" t="s">
        <v>9</v>
      </c>
      <c r="C47" s="15">
        <v>-76.393842000000006</v>
      </c>
      <c r="G47" s="5" t="s">
        <v>9</v>
      </c>
      <c r="I47" s="15">
        <v>-76.401358000000002</v>
      </c>
    </row>
    <row r="48" spans="1:9" x14ac:dyDescent="0.3">
      <c r="A48" t="s">
        <v>10</v>
      </c>
      <c r="C48" s="15">
        <v>-76.391006000000004</v>
      </c>
      <c r="G48" s="5" t="s">
        <v>10</v>
      </c>
      <c r="I48" s="15">
        <v>-76.398522999999997</v>
      </c>
    </row>
    <row r="49" spans="1:9" x14ac:dyDescent="0.3">
      <c r="A49" t="s">
        <v>11</v>
      </c>
      <c r="C49" s="15">
        <v>-76.390062</v>
      </c>
      <c r="G49" s="5" t="s">
        <v>11</v>
      </c>
      <c r="I49" s="15">
        <v>-76.397578999999993</v>
      </c>
    </row>
    <row r="50" spans="1:9" x14ac:dyDescent="0.3">
      <c r="A50" t="s">
        <v>12</v>
      </c>
      <c r="C50" s="15">
        <v>-76.411471000000006</v>
      </c>
      <c r="G50" s="5" t="s">
        <v>12</v>
      </c>
      <c r="I50" s="15">
        <v>-76.418996000000007</v>
      </c>
    </row>
    <row r="53" spans="1:9" x14ac:dyDescent="0.3">
      <c r="A53" t="s">
        <v>19</v>
      </c>
      <c r="G53" s="5" t="s">
        <v>19</v>
      </c>
    </row>
    <row r="54" spans="1:9" x14ac:dyDescent="0.3">
      <c r="A54" t="s">
        <v>20</v>
      </c>
      <c r="B54" t="s">
        <v>3</v>
      </c>
      <c r="C54" s="15" t="s">
        <v>4</v>
      </c>
      <c r="G54" s="5" t="s">
        <v>56</v>
      </c>
      <c r="H54" t="s">
        <v>3</v>
      </c>
      <c r="I54" s="15" t="s">
        <v>4</v>
      </c>
    </row>
    <row r="55" spans="1:9" x14ac:dyDescent="0.3">
      <c r="A55" t="s">
        <v>5</v>
      </c>
      <c r="C55" s="15" t="s">
        <v>21</v>
      </c>
      <c r="G55" s="5" t="s">
        <v>5</v>
      </c>
      <c r="I55" s="15" t="s">
        <v>57</v>
      </c>
    </row>
    <row r="56" spans="1:9" x14ac:dyDescent="0.3">
      <c r="A56" t="s">
        <v>6</v>
      </c>
      <c r="C56" s="15">
        <v>3.7740000000000003E-2</v>
      </c>
      <c r="G56" s="5" t="s">
        <v>6</v>
      </c>
      <c r="I56" s="15">
        <v>3.8221999999999999E-2</v>
      </c>
    </row>
    <row r="57" spans="1:9" x14ac:dyDescent="0.3">
      <c r="A57" t="s">
        <v>7</v>
      </c>
      <c r="C57" s="15">
        <v>3.8684000000000003E-2</v>
      </c>
      <c r="G57" s="5" t="s">
        <v>7</v>
      </c>
      <c r="I57" s="15">
        <v>3.9165999999999999E-2</v>
      </c>
    </row>
    <row r="58" spans="1:9" x14ac:dyDescent="0.3">
      <c r="A58" t="s">
        <v>8</v>
      </c>
      <c r="C58" s="15">
        <v>1.6733999999999999E-2</v>
      </c>
      <c r="G58" s="5" t="s">
        <v>8</v>
      </c>
      <c r="I58" s="15">
        <v>1.7259E-2</v>
      </c>
    </row>
    <row r="59" spans="1:9" x14ac:dyDescent="0.3">
      <c r="A59" t="s">
        <v>9</v>
      </c>
      <c r="C59" s="15">
        <v>-76.657255000000006</v>
      </c>
      <c r="G59" s="5" t="s">
        <v>9</v>
      </c>
      <c r="I59" s="15">
        <v>-76.780486999999994</v>
      </c>
    </row>
    <row r="60" spans="1:9" x14ac:dyDescent="0.3">
      <c r="A60" t="s">
        <v>10</v>
      </c>
      <c r="C60" s="15">
        <v>-76.654342</v>
      </c>
      <c r="G60" s="5" t="s">
        <v>10</v>
      </c>
      <c r="I60" s="15">
        <v>-76.777603999999997</v>
      </c>
    </row>
    <row r="61" spans="1:9" x14ac:dyDescent="0.3">
      <c r="A61" t="s">
        <v>11</v>
      </c>
      <c r="C61" s="15">
        <v>-76.653397999999996</v>
      </c>
      <c r="G61" s="5" t="s">
        <v>11</v>
      </c>
      <c r="I61" s="15">
        <v>-76.776660000000007</v>
      </c>
    </row>
    <row r="62" spans="1:9" x14ac:dyDescent="0.3">
      <c r="A62" t="s">
        <v>12</v>
      </c>
      <c r="C62" s="15">
        <v>-76.675348</v>
      </c>
      <c r="G62" s="5" t="s">
        <v>12</v>
      </c>
      <c r="I62" s="15">
        <v>-76.798567000000006</v>
      </c>
    </row>
    <row r="65" spans="1:9" x14ac:dyDescent="0.3">
      <c r="A65" t="s">
        <v>22</v>
      </c>
      <c r="G65" s="5" t="s">
        <v>22</v>
      </c>
    </row>
    <row r="66" spans="1:9" x14ac:dyDescent="0.3">
      <c r="A66" t="s">
        <v>23</v>
      </c>
      <c r="B66" t="s">
        <v>3</v>
      </c>
      <c r="C66" s="15" t="s">
        <v>4</v>
      </c>
      <c r="G66" s="5" t="s">
        <v>54</v>
      </c>
      <c r="H66" t="s">
        <v>3</v>
      </c>
      <c r="I66" s="15" t="s">
        <v>4</v>
      </c>
    </row>
    <row r="67" spans="1:9" x14ac:dyDescent="0.3">
      <c r="A67" t="s">
        <v>5</v>
      </c>
      <c r="C67" s="15" t="s">
        <v>24</v>
      </c>
      <c r="G67" s="5" t="s">
        <v>5</v>
      </c>
      <c r="I67" s="15" t="s">
        <v>55</v>
      </c>
    </row>
    <row r="68" spans="1:9" x14ac:dyDescent="0.3">
      <c r="A68" t="s">
        <v>6</v>
      </c>
      <c r="C68" s="15">
        <v>1.4785E-2</v>
      </c>
      <c r="G68" s="5" t="s">
        <v>6</v>
      </c>
      <c r="I68" s="15">
        <v>1.489E-2</v>
      </c>
    </row>
    <row r="69" spans="1:9" x14ac:dyDescent="0.3">
      <c r="A69" t="s">
        <v>7</v>
      </c>
      <c r="C69" s="15">
        <v>1.5729E-2</v>
      </c>
      <c r="G69" s="5" t="s">
        <v>7</v>
      </c>
      <c r="I69" s="15">
        <v>1.5834000000000001E-2</v>
      </c>
    </row>
    <row r="70" spans="1:9" x14ac:dyDescent="0.3">
      <c r="A70" t="s">
        <v>8</v>
      </c>
      <c r="C70" s="15">
        <v>-8.5039999999999994E-3</v>
      </c>
      <c r="G70" s="5" t="s">
        <v>8</v>
      </c>
      <c r="I70" s="15">
        <v>-8.371E-3</v>
      </c>
    </row>
    <row r="71" spans="1:9" x14ac:dyDescent="0.3">
      <c r="A71" t="s">
        <v>9</v>
      </c>
      <c r="C71" s="15">
        <v>-204.661047</v>
      </c>
      <c r="G71" s="5" t="s">
        <v>9</v>
      </c>
      <c r="I71" s="15">
        <v>-204.775891</v>
      </c>
    </row>
    <row r="72" spans="1:9" x14ac:dyDescent="0.3">
      <c r="A72" t="s">
        <v>10</v>
      </c>
      <c r="C72" s="15">
        <v>-204.658434</v>
      </c>
      <c r="G72" s="5" t="s">
        <v>10</v>
      </c>
      <c r="I72" s="15">
        <v>-204.77329499999999</v>
      </c>
    </row>
    <row r="73" spans="1:9" x14ac:dyDescent="0.3">
      <c r="A73" t="s">
        <v>11</v>
      </c>
      <c r="C73" s="15">
        <v>-204.657489</v>
      </c>
      <c r="G73" s="5" t="s">
        <v>11</v>
      </c>
      <c r="I73" s="15">
        <v>-204.77234999999999</v>
      </c>
    </row>
    <row r="74" spans="1:9" x14ac:dyDescent="0.3">
      <c r="A74" t="s">
        <v>12</v>
      </c>
      <c r="C74" s="15">
        <v>-204.68172200000001</v>
      </c>
      <c r="G74" s="5" t="s">
        <v>12</v>
      </c>
      <c r="I74" s="15">
        <v>-204.79655600000001</v>
      </c>
    </row>
    <row r="77" spans="1:9" x14ac:dyDescent="0.3">
      <c r="A77" t="s">
        <v>41</v>
      </c>
      <c r="G77" s="5" t="s">
        <v>60</v>
      </c>
    </row>
    <row r="78" spans="1:9" x14ac:dyDescent="0.3">
      <c r="G78" s="5" t="s">
        <v>61</v>
      </c>
      <c r="H78" t="s">
        <v>3</v>
      </c>
      <c r="I78" s="15" t="s">
        <v>4</v>
      </c>
    </row>
    <row r="79" spans="1:9" x14ac:dyDescent="0.3">
      <c r="A79" t="s">
        <v>32</v>
      </c>
      <c r="C79" s="15" t="s">
        <v>33</v>
      </c>
      <c r="G79" s="5" t="s">
        <v>5</v>
      </c>
      <c r="I79" s="15" t="s">
        <v>62</v>
      </c>
    </row>
    <row r="80" spans="1:9" x14ac:dyDescent="0.3">
      <c r="A80" t="s">
        <v>34</v>
      </c>
      <c r="C80" s="15">
        <v>0.27545700000000001</v>
      </c>
      <c r="G80" s="5" t="s">
        <v>6</v>
      </c>
      <c r="I80" s="15">
        <v>0.27511400000000003</v>
      </c>
    </row>
    <row r="81" spans="1:9" x14ac:dyDescent="0.3">
      <c r="A81" t="s">
        <v>35</v>
      </c>
      <c r="C81" s="15">
        <v>0.27640100000000001</v>
      </c>
      <c r="G81" s="5" t="s">
        <v>7</v>
      </c>
      <c r="I81" s="15">
        <v>0.27605800000000003</v>
      </c>
    </row>
    <row r="82" spans="1:9" x14ac:dyDescent="0.3">
      <c r="A82" t="s">
        <v>36</v>
      </c>
      <c r="C82" s="15">
        <v>0.210845</v>
      </c>
      <c r="G82" s="5" t="s">
        <v>8</v>
      </c>
      <c r="I82" s="15">
        <v>0.210393</v>
      </c>
    </row>
    <row r="83" spans="1:9" x14ac:dyDescent="0.3">
      <c r="A83" t="s">
        <v>37</v>
      </c>
      <c r="C83" s="15">
        <v>-969.79685500000005</v>
      </c>
      <c r="G83" s="5" t="s">
        <v>9</v>
      </c>
      <c r="I83" s="15">
        <v>-969.81657099999995</v>
      </c>
    </row>
    <row r="84" spans="1:9" x14ac:dyDescent="0.3">
      <c r="A84" t="s">
        <v>38</v>
      </c>
      <c r="C84" s="15">
        <v>-969.77890600000001</v>
      </c>
      <c r="G84" s="5" t="s">
        <v>10</v>
      </c>
      <c r="I84" s="15">
        <v>-969.79855699999996</v>
      </c>
    </row>
    <row r="85" spans="1:9" x14ac:dyDescent="0.3">
      <c r="A85" t="s">
        <v>39</v>
      </c>
      <c r="C85" s="15">
        <v>-969.777962</v>
      </c>
      <c r="G85" s="5" t="s">
        <v>11</v>
      </c>
      <c r="I85" s="15">
        <v>-969.79761299999996</v>
      </c>
    </row>
    <row r="86" spans="1:9" x14ac:dyDescent="0.3">
      <c r="A86" t="s">
        <v>40</v>
      </c>
      <c r="C86" s="15">
        <v>-969.84351800000002</v>
      </c>
      <c r="G86" s="5" t="s">
        <v>12</v>
      </c>
      <c r="I86" s="15">
        <v>-969.86327800000004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0"/>
  <sheetViews>
    <sheetView workbookViewId="0">
      <selection activeCell="B93" sqref="B93"/>
    </sheetView>
    <sheetView workbookViewId="1"/>
  </sheetViews>
  <sheetFormatPr defaultRowHeight="14.4" x14ac:dyDescent="0.3"/>
  <cols>
    <col min="1" max="1" width="50.5546875" bestFit="1" customWidth="1"/>
    <col min="2" max="2" width="37.109375" bestFit="1" customWidth="1"/>
    <col min="4" max="4" width="37.88671875" bestFit="1" customWidth="1"/>
    <col min="5" max="5" width="35.88671875" bestFit="1" customWidth="1"/>
    <col min="8" max="8" width="43.5546875" bestFit="1" customWidth="1"/>
    <col min="9" max="9" width="40" style="15" bestFit="1" customWidth="1"/>
  </cols>
  <sheetData>
    <row r="1" spans="1:10" ht="15" thickBot="1" x14ac:dyDescent="0.35">
      <c r="A1" t="s">
        <v>25</v>
      </c>
      <c r="D1" s="82" t="s">
        <v>210</v>
      </c>
      <c r="E1" t="s">
        <v>183</v>
      </c>
    </row>
    <row r="2" spans="1:10" x14ac:dyDescent="0.3">
      <c r="A2" t="s">
        <v>123</v>
      </c>
      <c r="D2" t="s">
        <v>401</v>
      </c>
    </row>
    <row r="3" spans="1:10" x14ac:dyDescent="0.3">
      <c r="A3" t="s">
        <v>124</v>
      </c>
    </row>
    <row r="5" spans="1:10" x14ac:dyDescent="0.3">
      <c r="A5" s="10" t="s">
        <v>65</v>
      </c>
      <c r="H5" s="1" t="s">
        <v>209</v>
      </c>
      <c r="J5" t="s">
        <v>123</v>
      </c>
    </row>
    <row r="6" spans="1:10" x14ac:dyDescent="0.3">
      <c r="A6" t="s">
        <v>125</v>
      </c>
      <c r="D6" t="s">
        <v>236</v>
      </c>
      <c r="H6" t="s">
        <v>211</v>
      </c>
      <c r="J6" t="s">
        <v>193</v>
      </c>
    </row>
    <row r="7" spans="1:10" x14ac:dyDescent="0.3">
      <c r="A7" t="s">
        <v>142</v>
      </c>
      <c r="B7" t="s">
        <v>143</v>
      </c>
      <c r="D7" t="s">
        <v>142</v>
      </c>
      <c r="E7" t="s">
        <v>237</v>
      </c>
      <c r="H7" t="s">
        <v>142</v>
      </c>
      <c r="I7" s="15" t="s">
        <v>212</v>
      </c>
    </row>
    <row r="8" spans="1:10" x14ac:dyDescent="0.3">
      <c r="A8" t="s">
        <v>144</v>
      </c>
      <c r="B8" t="s">
        <v>145</v>
      </c>
      <c r="D8" t="s">
        <v>144</v>
      </c>
      <c r="E8" t="s">
        <v>238</v>
      </c>
      <c r="H8" t="s">
        <v>144</v>
      </c>
      <c r="I8" s="15" t="s">
        <v>213</v>
      </c>
    </row>
    <row r="9" spans="1:10" x14ac:dyDescent="0.3">
      <c r="A9" t="s">
        <v>146</v>
      </c>
      <c r="B9">
        <v>0.28419800000000001</v>
      </c>
      <c r="D9" t="s">
        <v>146</v>
      </c>
      <c r="E9">
        <v>0.27995100000000001</v>
      </c>
      <c r="H9" t="s">
        <v>146</v>
      </c>
      <c r="I9" s="15">
        <v>0.27985300000000002</v>
      </c>
    </row>
    <row r="10" spans="1:10" x14ac:dyDescent="0.3">
      <c r="A10" t="s">
        <v>147</v>
      </c>
      <c r="B10">
        <v>0.28514200000000001</v>
      </c>
      <c r="D10" t="s">
        <v>147</v>
      </c>
      <c r="E10">
        <v>0.28089500000000001</v>
      </c>
      <c r="H10" t="s">
        <v>147</v>
      </c>
      <c r="I10" s="15">
        <v>0.28079700000000002</v>
      </c>
    </row>
    <row r="11" spans="1:10" x14ac:dyDescent="0.3">
      <c r="A11" t="s">
        <v>148</v>
      </c>
      <c r="B11">
        <v>0.218052</v>
      </c>
      <c r="D11" t="s">
        <v>148</v>
      </c>
      <c r="E11">
        <v>0.218276</v>
      </c>
      <c r="H11" t="s">
        <v>148</v>
      </c>
      <c r="I11" s="15">
        <v>0.215948</v>
      </c>
    </row>
    <row r="12" spans="1:10" x14ac:dyDescent="0.3">
      <c r="A12" t="s">
        <v>149</v>
      </c>
      <c r="B12">
        <v>-970.40325299999995</v>
      </c>
      <c r="D12" t="s">
        <v>149</v>
      </c>
      <c r="E12">
        <v>-970.49096299999997</v>
      </c>
      <c r="H12" t="s">
        <v>149</v>
      </c>
      <c r="I12" s="15">
        <v>-970.49131599999998</v>
      </c>
    </row>
    <row r="13" spans="1:10" x14ac:dyDescent="0.3">
      <c r="A13" t="s">
        <v>150</v>
      </c>
      <c r="B13">
        <v>-970.38462700000002</v>
      </c>
      <c r="D13" t="s">
        <v>150</v>
      </c>
      <c r="E13">
        <v>-970.47409600000003</v>
      </c>
      <c r="H13" t="s">
        <v>150</v>
      </c>
      <c r="I13" s="15">
        <v>-970.47424000000001</v>
      </c>
    </row>
    <row r="14" spans="1:10" x14ac:dyDescent="0.3">
      <c r="A14" t="s">
        <v>151</v>
      </c>
      <c r="B14">
        <v>-970.38368300000002</v>
      </c>
      <c r="D14" t="s">
        <v>151</v>
      </c>
      <c r="E14">
        <v>-970.47315200000003</v>
      </c>
      <c r="H14" t="s">
        <v>151</v>
      </c>
      <c r="I14" s="15">
        <v>-970.473296</v>
      </c>
    </row>
    <row r="15" spans="1:10" x14ac:dyDescent="0.3">
      <c r="A15" t="s">
        <v>152</v>
      </c>
      <c r="B15">
        <v>-970.45077200000003</v>
      </c>
      <c r="D15" t="s">
        <v>152</v>
      </c>
      <c r="E15">
        <v>-970.53577099999995</v>
      </c>
      <c r="H15" t="s">
        <v>152</v>
      </c>
      <c r="I15" s="15">
        <v>-970.53814499999999</v>
      </c>
    </row>
    <row r="17" spans="1:8" x14ac:dyDescent="0.3">
      <c r="A17" t="s">
        <v>15</v>
      </c>
      <c r="H17" s="1"/>
    </row>
    <row r="18" spans="1:8" x14ac:dyDescent="0.3">
      <c r="A18" t="s">
        <v>126</v>
      </c>
      <c r="D18" t="s">
        <v>187</v>
      </c>
      <c r="E18" s="15"/>
      <c r="F18" t="s">
        <v>123</v>
      </c>
    </row>
    <row r="19" spans="1:8" x14ac:dyDescent="0.3">
      <c r="A19" t="s">
        <v>142</v>
      </c>
      <c r="B19" t="s">
        <v>153</v>
      </c>
      <c r="D19" t="s">
        <v>142</v>
      </c>
      <c r="E19" s="15" t="s">
        <v>188</v>
      </c>
      <c r="F19" t="s">
        <v>193</v>
      </c>
    </row>
    <row r="20" spans="1:8" x14ac:dyDescent="0.3">
      <c r="A20" t="s">
        <v>144</v>
      </c>
      <c r="B20" t="s">
        <v>145</v>
      </c>
      <c r="D20" t="s">
        <v>144</v>
      </c>
      <c r="E20" s="15" t="s">
        <v>189</v>
      </c>
    </row>
    <row r="21" spans="1:8" x14ac:dyDescent="0.3">
      <c r="A21" t="s">
        <v>146</v>
      </c>
      <c r="B21">
        <v>0.28419899999999998</v>
      </c>
      <c r="D21" t="s">
        <v>146</v>
      </c>
      <c r="E21" s="15">
        <v>0.27982299999999999</v>
      </c>
    </row>
    <row r="22" spans="1:8" x14ac:dyDescent="0.3">
      <c r="A22" t="s">
        <v>147</v>
      </c>
      <c r="B22">
        <v>0.28514299999999998</v>
      </c>
      <c r="D22" t="s">
        <v>147</v>
      </c>
      <c r="E22" s="15">
        <v>0.28076699999999999</v>
      </c>
    </row>
    <row r="23" spans="1:8" x14ac:dyDescent="0.3">
      <c r="A23" t="s">
        <v>148</v>
      </c>
      <c r="B23">
        <v>0.21804999999999999</v>
      </c>
      <c r="D23" t="s">
        <v>148</v>
      </c>
      <c r="E23" s="15">
        <v>0.21625900000000001</v>
      </c>
    </row>
    <row r="24" spans="1:8" x14ac:dyDescent="0.3">
      <c r="A24" t="s">
        <v>149</v>
      </c>
      <c r="B24">
        <v>-970.40325299999995</v>
      </c>
      <c r="D24" t="s">
        <v>149</v>
      </c>
      <c r="E24" s="15">
        <v>-970.49134400000003</v>
      </c>
    </row>
    <row r="25" spans="1:8" x14ac:dyDescent="0.3">
      <c r="A25" t="s">
        <v>150</v>
      </c>
      <c r="B25">
        <v>-970.38462600000003</v>
      </c>
      <c r="D25" t="s">
        <v>150</v>
      </c>
      <c r="E25" s="15">
        <v>-970.47427000000005</v>
      </c>
    </row>
    <row r="26" spans="1:8" x14ac:dyDescent="0.3">
      <c r="A26" t="s">
        <v>151</v>
      </c>
      <c r="B26">
        <v>-970.38368200000002</v>
      </c>
      <c r="D26" t="s">
        <v>151</v>
      </c>
      <c r="E26" s="15">
        <v>-970.47332600000004</v>
      </c>
    </row>
    <row r="27" spans="1:8" x14ac:dyDescent="0.3">
      <c r="A27" t="s">
        <v>152</v>
      </c>
      <c r="B27">
        <v>-970.45077500000002</v>
      </c>
      <c r="D27" t="s">
        <v>152</v>
      </c>
      <c r="E27" s="15">
        <v>-970.53783399999998</v>
      </c>
    </row>
    <row r="29" spans="1:8" x14ac:dyDescent="0.3">
      <c r="A29" t="s">
        <v>64</v>
      </c>
    </row>
    <row r="30" spans="1:8" x14ac:dyDescent="0.3">
      <c r="A30" t="s">
        <v>233</v>
      </c>
      <c r="D30" t="s">
        <v>402</v>
      </c>
    </row>
    <row r="31" spans="1:8" x14ac:dyDescent="0.3">
      <c r="A31" t="s">
        <v>142</v>
      </c>
      <c r="B31" t="s">
        <v>234</v>
      </c>
      <c r="D31" t="s">
        <v>142</v>
      </c>
      <c r="E31" t="s">
        <v>239</v>
      </c>
    </row>
    <row r="32" spans="1:8" x14ac:dyDescent="0.3">
      <c r="A32" t="s">
        <v>144</v>
      </c>
      <c r="B32" t="s">
        <v>235</v>
      </c>
      <c r="D32" t="s">
        <v>144</v>
      </c>
      <c r="E32" t="s">
        <v>240</v>
      </c>
    </row>
    <row r="33" spans="1:6" x14ac:dyDescent="0.3">
      <c r="A33" t="s">
        <v>146</v>
      </c>
      <c r="B33">
        <v>0.28386499999999998</v>
      </c>
      <c r="D33" t="s">
        <v>146</v>
      </c>
      <c r="E33">
        <v>0.269704</v>
      </c>
    </row>
    <row r="34" spans="1:6" x14ac:dyDescent="0.3">
      <c r="A34" t="s">
        <v>147</v>
      </c>
      <c r="B34">
        <v>0.28480899999999998</v>
      </c>
      <c r="D34" t="s">
        <v>147</v>
      </c>
      <c r="E34">
        <v>0.270648</v>
      </c>
    </row>
    <row r="35" spans="1:6" x14ac:dyDescent="0.3">
      <c r="A35" t="s">
        <v>148</v>
      </c>
      <c r="B35">
        <v>0.21774199999999999</v>
      </c>
      <c r="D35" t="s">
        <v>148</v>
      </c>
      <c r="E35">
        <v>0.21082000000000001</v>
      </c>
    </row>
    <row r="36" spans="1:6" x14ac:dyDescent="0.3">
      <c r="A36" t="s">
        <v>149</v>
      </c>
      <c r="B36">
        <v>-970.39077799999995</v>
      </c>
      <c r="D36" t="s">
        <v>149</v>
      </c>
      <c r="E36">
        <v>-970.48312299999998</v>
      </c>
    </row>
    <row r="37" spans="1:6" x14ac:dyDescent="0.3">
      <c r="A37" t="s">
        <v>150</v>
      </c>
      <c r="B37">
        <v>-970.372075</v>
      </c>
      <c r="D37" t="s">
        <v>150</v>
      </c>
      <c r="E37">
        <v>-970.46807200000001</v>
      </c>
    </row>
    <row r="38" spans="1:6" x14ac:dyDescent="0.3">
      <c r="A38" t="s">
        <v>151</v>
      </c>
      <c r="B38">
        <v>-970.37112999999999</v>
      </c>
      <c r="D38" t="s">
        <v>151</v>
      </c>
      <c r="E38">
        <v>-970.467128</v>
      </c>
    </row>
    <row r="39" spans="1:6" x14ac:dyDescent="0.3">
      <c r="A39" t="s">
        <v>152</v>
      </c>
      <c r="B39">
        <v>-970.43819800000006</v>
      </c>
      <c r="D39" t="s">
        <v>152</v>
      </c>
      <c r="E39">
        <v>-970.52695700000004</v>
      </c>
    </row>
    <row r="41" spans="1:6" hidden="1" x14ac:dyDescent="0.3">
      <c r="A41" t="s">
        <v>127</v>
      </c>
      <c r="B41" s="1" t="s">
        <v>209</v>
      </c>
      <c r="D41" t="s">
        <v>184</v>
      </c>
      <c r="E41" s="1" t="s">
        <v>209</v>
      </c>
      <c r="F41" t="s">
        <v>123</v>
      </c>
    </row>
    <row r="42" spans="1:6" hidden="1" x14ac:dyDescent="0.3">
      <c r="A42" t="s">
        <v>142</v>
      </c>
      <c r="B42" t="s">
        <v>154</v>
      </c>
      <c r="D42" t="s">
        <v>142</v>
      </c>
      <c r="E42" t="s">
        <v>185</v>
      </c>
      <c r="F42" t="s">
        <v>193</v>
      </c>
    </row>
    <row r="43" spans="1:6" hidden="1" x14ac:dyDescent="0.3">
      <c r="A43" t="s">
        <v>144</v>
      </c>
      <c r="B43" t="s">
        <v>155</v>
      </c>
      <c r="D43" t="s">
        <v>144</v>
      </c>
      <c r="E43" t="s">
        <v>186</v>
      </c>
    </row>
    <row r="44" spans="1:6" hidden="1" x14ac:dyDescent="0.3">
      <c r="A44" t="s">
        <v>146</v>
      </c>
      <c r="B44">
        <v>0.28386299999999998</v>
      </c>
      <c r="D44" t="s">
        <v>146</v>
      </c>
      <c r="E44">
        <v>0.27013999999999999</v>
      </c>
    </row>
    <row r="45" spans="1:6" hidden="1" x14ac:dyDescent="0.3">
      <c r="A45" t="s">
        <v>147</v>
      </c>
      <c r="B45">
        <v>0.28480699999999998</v>
      </c>
      <c r="D45" t="s">
        <v>147</v>
      </c>
      <c r="E45">
        <v>0.27108399999999999</v>
      </c>
    </row>
    <row r="46" spans="1:6" hidden="1" x14ac:dyDescent="0.3">
      <c r="A46" t="s">
        <v>148</v>
      </c>
      <c r="B46">
        <v>0.217777</v>
      </c>
      <c r="D46" t="s">
        <v>148</v>
      </c>
      <c r="E46">
        <v>0.21274299999999999</v>
      </c>
    </row>
    <row r="47" spans="1:6" hidden="1" x14ac:dyDescent="0.3">
      <c r="A47" t="s">
        <v>149</v>
      </c>
      <c r="B47">
        <v>-970.39076899999998</v>
      </c>
      <c r="D47" t="s">
        <v>149</v>
      </c>
      <c r="E47">
        <v>-970.48251600000003</v>
      </c>
    </row>
    <row r="48" spans="1:6" hidden="1" x14ac:dyDescent="0.3">
      <c r="A48" t="s">
        <v>150</v>
      </c>
      <c r="B48">
        <v>-970.37207699999999</v>
      </c>
      <c r="D48" t="s">
        <v>150</v>
      </c>
      <c r="E48">
        <v>-970.46762799999999</v>
      </c>
    </row>
    <row r="49" spans="1:6" hidden="1" x14ac:dyDescent="0.3">
      <c r="A49" t="s">
        <v>151</v>
      </c>
      <c r="B49">
        <v>-970.37113299999999</v>
      </c>
      <c r="D49" t="s">
        <v>151</v>
      </c>
      <c r="E49">
        <v>-970.46668399999999</v>
      </c>
    </row>
    <row r="50" spans="1:6" hidden="1" x14ac:dyDescent="0.3">
      <c r="A50" t="s">
        <v>152</v>
      </c>
      <c r="B50">
        <v>-970.43816200000003</v>
      </c>
      <c r="D50" t="s">
        <v>152</v>
      </c>
      <c r="E50">
        <v>-970.52502400000003</v>
      </c>
    </row>
    <row r="51" spans="1:6" hidden="1" x14ac:dyDescent="0.3"/>
    <row r="53" spans="1:6" x14ac:dyDescent="0.3">
      <c r="A53" t="s">
        <v>128</v>
      </c>
      <c r="D53" t="s">
        <v>190</v>
      </c>
      <c r="F53" t="s">
        <v>123</v>
      </c>
    </row>
    <row r="54" spans="1:6" x14ac:dyDescent="0.3">
      <c r="A54" t="s">
        <v>142</v>
      </c>
      <c r="B54" t="s">
        <v>156</v>
      </c>
      <c r="D54" t="s">
        <v>142</v>
      </c>
      <c r="E54" t="s">
        <v>191</v>
      </c>
      <c r="F54" t="s">
        <v>193</v>
      </c>
    </row>
    <row r="55" spans="1:6" x14ac:dyDescent="0.3">
      <c r="A55" t="s">
        <v>144</v>
      </c>
      <c r="B55" t="s">
        <v>157</v>
      </c>
      <c r="D55" t="s">
        <v>144</v>
      </c>
      <c r="E55" t="s">
        <v>192</v>
      </c>
    </row>
    <row r="56" spans="1:6" x14ac:dyDescent="0.3">
      <c r="A56" t="s">
        <v>146</v>
      </c>
      <c r="B56">
        <v>2.4126000000000002E-2</v>
      </c>
      <c r="D56" t="s">
        <v>146</v>
      </c>
      <c r="E56">
        <v>2.4011000000000001E-2</v>
      </c>
    </row>
    <row r="57" spans="1:6" x14ac:dyDescent="0.3">
      <c r="A57" t="s">
        <v>147</v>
      </c>
      <c r="B57">
        <v>2.5071E-2</v>
      </c>
      <c r="D57" t="s">
        <v>147</v>
      </c>
      <c r="E57">
        <v>2.4955000000000001E-2</v>
      </c>
    </row>
    <row r="58" spans="1:6" x14ac:dyDescent="0.3">
      <c r="A58" t="s">
        <v>148</v>
      </c>
      <c r="B58">
        <v>3.6470000000000001E-3</v>
      </c>
      <c r="D58" t="s">
        <v>148</v>
      </c>
      <c r="E58">
        <v>3.5239999999999998E-3</v>
      </c>
    </row>
    <row r="59" spans="1:6" x14ac:dyDescent="0.3">
      <c r="A59" t="s">
        <v>149</v>
      </c>
      <c r="B59">
        <v>-76.419324000000003</v>
      </c>
      <c r="D59" t="s">
        <v>149</v>
      </c>
      <c r="E59">
        <v>-76.426659999999998</v>
      </c>
    </row>
    <row r="60" spans="1:6" x14ac:dyDescent="0.3">
      <c r="A60" t="s">
        <v>150</v>
      </c>
      <c r="B60">
        <v>-76.416488000000001</v>
      </c>
      <c r="D60" t="s">
        <v>150</v>
      </c>
      <c r="E60">
        <v>-76.423824999999994</v>
      </c>
    </row>
    <row r="61" spans="1:6" x14ac:dyDescent="0.3">
      <c r="A61" t="s">
        <v>151</v>
      </c>
      <c r="B61">
        <v>-76.415543999999997</v>
      </c>
      <c r="D61" t="s">
        <v>151</v>
      </c>
      <c r="E61">
        <v>-76.422881000000004</v>
      </c>
    </row>
    <row r="62" spans="1:6" x14ac:dyDescent="0.3">
      <c r="A62" t="s">
        <v>152</v>
      </c>
      <c r="B62">
        <v>-76.436966999999996</v>
      </c>
      <c r="D62" t="s">
        <v>152</v>
      </c>
      <c r="E62">
        <v>-76.444311999999996</v>
      </c>
    </row>
    <row r="64" spans="1:6" x14ac:dyDescent="0.3">
      <c r="A64" t="s">
        <v>217</v>
      </c>
      <c r="D64" t="s">
        <v>244</v>
      </c>
    </row>
    <row r="65" spans="1:5" x14ac:dyDescent="0.3">
      <c r="A65" t="s">
        <v>142</v>
      </c>
      <c r="B65" t="s">
        <v>218</v>
      </c>
      <c r="D65" t="s">
        <v>142</v>
      </c>
      <c r="E65" t="s">
        <v>245</v>
      </c>
    </row>
    <row r="66" spans="1:5" x14ac:dyDescent="0.3">
      <c r="A66" t="s">
        <v>144</v>
      </c>
      <c r="B66" t="s">
        <v>219</v>
      </c>
      <c r="D66" t="s">
        <v>144</v>
      </c>
      <c r="E66" t="s">
        <v>246</v>
      </c>
    </row>
    <row r="67" spans="1:5" x14ac:dyDescent="0.3">
      <c r="A67" t="s">
        <v>146</v>
      </c>
      <c r="B67">
        <v>3.7136000000000002E-2</v>
      </c>
      <c r="D67" t="s">
        <v>146</v>
      </c>
      <c r="E67">
        <v>3.4702999999999998E-2</v>
      </c>
    </row>
    <row r="68" spans="1:5" x14ac:dyDescent="0.3">
      <c r="A68" t="s">
        <v>147</v>
      </c>
      <c r="B68">
        <v>3.8080999999999997E-2</v>
      </c>
      <c r="D68" t="s">
        <v>147</v>
      </c>
      <c r="E68">
        <v>3.5646999999999998E-2</v>
      </c>
    </row>
    <row r="69" spans="1:5" x14ac:dyDescent="0.3">
      <c r="A69" t="s">
        <v>148</v>
      </c>
      <c r="B69">
        <v>1.6112999999999999E-2</v>
      </c>
      <c r="D69" t="s">
        <v>148</v>
      </c>
      <c r="E69">
        <v>1.2733E-2</v>
      </c>
    </row>
    <row r="70" spans="1:5" x14ac:dyDescent="0.3">
      <c r="A70" t="s">
        <v>149</v>
      </c>
      <c r="B70">
        <v>-76.678842000000003</v>
      </c>
      <c r="D70" t="s">
        <v>149</v>
      </c>
      <c r="E70">
        <v>-76.804912999999999</v>
      </c>
    </row>
    <row r="71" spans="1:5" x14ac:dyDescent="0.3">
      <c r="A71" t="s">
        <v>150</v>
      </c>
      <c r="B71">
        <v>-76.675926000000004</v>
      </c>
      <c r="D71" t="s">
        <v>150</v>
      </c>
      <c r="E71">
        <v>-76.802065999999996</v>
      </c>
    </row>
    <row r="72" spans="1:5" x14ac:dyDescent="0.3">
      <c r="A72" t="s">
        <v>151</v>
      </c>
      <c r="B72">
        <v>-76.674981000000002</v>
      </c>
      <c r="D72" t="s">
        <v>151</v>
      </c>
      <c r="E72">
        <v>-76.801122000000007</v>
      </c>
    </row>
    <row r="73" spans="1:5" x14ac:dyDescent="0.3">
      <c r="A73" t="s">
        <v>152</v>
      </c>
      <c r="B73">
        <v>-76.696949000000004</v>
      </c>
      <c r="D73" t="s">
        <v>152</v>
      </c>
      <c r="E73">
        <v>-76.824034999999995</v>
      </c>
    </row>
    <row r="75" spans="1:5" hidden="1" x14ac:dyDescent="0.3">
      <c r="D75" s="1" t="s">
        <v>209</v>
      </c>
    </row>
    <row r="76" spans="1:5" hidden="1" x14ac:dyDescent="0.3">
      <c r="A76" t="s">
        <v>130</v>
      </c>
      <c r="B76" s="1" t="s">
        <v>209</v>
      </c>
      <c r="C76" s="15"/>
      <c r="D76" t="s">
        <v>214</v>
      </c>
    </row>
    <row r="77" spans="1:5" hidden="1" x14ac:dyDescent="0.3">
      <c r="A77" t="s">
        <v>132</v>
      </c>
      <c r="B77" s="15" t="s">
        <v>133</v>
      </c>
      <c r="D77" t="s">
        <v>142</v>
      </c>
      <c r="E77" t="s">
        <v>215</v>
      </c>
    </row>
    <row r="78" spans="1:5" hidden="1" x14ac:dyDescent="0.3">
      <c r="A78" t="s">
        <v>73</v>
      </c>
      <c r="B78" s="15" t="s">
        <v>134</v>
      </c>
      <c r="D78" t="s">
        <v>144</v>
      </c>
      <c r="E78" t="s">
        <v>216</v>
      </c>
    </row>
    <row r="79" spans="1:5" hidden="1" x14ac:dyDescent="0.3">
      <c r="A79" t="s">
        <v>135</v>
      </c>
      <c r="B79" s="15">
        <v>3.5487999999999999E-2</v>
      </c>
      <c r="D79" t="s">
        <v>146</v>
      </c>
      <c r="E79">
        <v>3.7839999999999999E-2</v>
      </c>
    </row>
    <row r="80" spans="1:5" hidden="1" x14ac:dyDescent="0.3">
      <c r="A80" t="s">
        <v>35</v>
      </c>
      <c r="B80" s="15">
        <v>3.6431999999999999E-2</v>
      </c>
      <c r="D80" t="s">
        <v>147</v>
      </c>
      <c r="E80">
        <v>3.8783999999999999E-2</v>
      </c>
    </row>
    <row r="81" spans="1:9" hidden="1" x14ac:dyDescent="0.3">
      <c r="A81" t="s">
        <v>46</v>
      </c>
      <c r="B81" s="15">
        <v>1.4588E-2</v>
      </c>
      <c r="D81" t="s">
        <v>148</v>
      </c>
      <c r="E81">
        <v>1.6913999999999998E-2</v>
      </c>
    </row>
    <row r="82" spans="1:9" hidden="1" x14ac:dyDescent="0.3">
      <c r="A82" t="s">
        <v>37</v>
      </c>
      <c r="B82" s="15">
        <v>-76.678327999999993</v>
      </c>
      <c r="D82" t="s">
        <v>149</v>
      </c>
      <c r="E82">
        <v>-76.801810000000003</v>
      </c>
    </row>
    <row r="83" spans="1:9" hidden="1" x14ac:dyDescent="0.3">
      <c r="A83" t="s">
        <v>136</v>
      </c>
      <c r="B83" s="15">
        <v>-76.675488999999999</v>
      </c>
      <c r="D83" t="s">
        <v>150</v>
      </c>
      <c r="E83">
        <v>-76.798968000000002</v>
      </c>
    </row>
    <row r="84" spans="1:9" hidden="1" x14ac:dyDescent="0.3">
      <c r="A84" t="s">
        <v>138</v>
      </c>
      <c r="B84" s="15">
        <v>-76.674544999999995</v>
      </c>
      <c r="D84" t="s">
        <v>151</v>
      </c>
      <c r="E84">
        <v>-76.798023000000001</v>
      </c>
    </row>
    <row r="85" spans="1:9" hidden="1" x14ac:dyDescent="0.3">
      <c r="A85" t="s">
        <v>137</v>
      </c>
      <c r="B85" s="15">
        <v>-76.696388999999996</v>
      </c>
      <c r="D85" t="s">
        <v>152</v>
      </c>
      <c r="E85">
        <v>-76.819894000000005</v>
      </c>
    </row>
    <row r="86" spans="1:9" hidden="1" x14ac:dyDescent="0.3">
      <c r="B86" s="15"/>
    </row>
    <row r="87" spans="1:9" x14ac:dyDescent="0.3">
      <c r="B87" s="15"/>
      <c r="H87" s="1" t="s">
        <v>209</v>
      </c>
    </row>
    <row r="88" spans="1:9" x14ac:dyDescent="0.3">
      <c r="A88" t="s">
        <v>131</v>
      </c>
      <c r="B88" s="15"/>
      <c r="D88" t="s">
        <v>194</v>
      </c>
      <c r="H88" t="s">
        <v>194</v>
      </c>
    </row>
    <row r="89" spans="1:9" x14ac:dyDescent="0.3">
      <c r="A89" t="s">
        <v>132</v>
      </c>
      <c r="B89" s="15" t="s">
        <v>139</v>
      </c>
      <c r="D89" t="s">
        <v>142</v>
      </c>
      <c r="E89" t="s">
        <v>195</v>
      </c>
      <c r="H89" t="s">
        <v>142</v>
      </c>
      <c r="I89" s="15" t="s">
        <v>195</v>
      </c>
    </row>
    <row r="90" spans="1:9" x14ac:dyDescent="0.3">
      <c r="A90" t="s">
        <v>32</v>
      </c>
      <c r="B90" s="15" t="s">
        <v>140</v>
      </c>
      <c r="D90" t="s">
        <v>144</v>
      </c>
      <c r="E90" t="s">
        <v>196</v>
      </c>
      <c r="H90" t="s">
        <v>144</v>
      </c>
      <c r="I90" s="15" t="s">
        <v>196</v>
      </c>
    </row>
    <row r="91" spans="1:9" x14ac:dyDescent="0.3">
      <c r="A91" t="s">
        <v>135</v>
      </c>
      <c r="B91" s="15">
        <v>1.4505000000000001E-2</v>
      </c>
      <c r="D91" t="s">
        <v>146</v>
      </c>
      <c r="E91">
        <v>1.4619999999999999E-2</v>
      </c>
      <c r="H91" t="s">
        <v>146</v>
      </c>
      <c r="I91" s="15">
        <v>1.4619999999999999E-2</v>
      </c>
    </row>
    <row r="92" spans="1:9" x14ac:dyDescent="0.3">
      <c r="A92" t="s">
        <v>69</v>
      </c>
      <c r="B92" s="15">
        <v>1.5448999999999999E-2</v>
      </c>
      <c r="D92" t="s">
        <v>147</v>
      </c>
      <c r="E92">
        <v>1.5564E-2</v>
      </c>
      <c r="H92" t="s">
        <v>147</v>
      </c>
      <c r="I92" s="15">
        <v>1.5564E-2</v>
      </c>
    </row>
    <row r="93" spans="1:9" x14ac:dyDescent="0.3">
      <c r="A93" t="s">
        <v>141</v>
      </c>
      <c r="B93" s="15">
        <v>-8.8120000000000004E-3</v>
      </c>
      <c r="D93" t="s">
        <v>148</v>
      </c>
      <c r="E93">
        <v>-8.6709999999999999E-3</v>
      </c>
      <c r="H93" t="s">
        <v>148</v>
      </c>
      <c r="I93" s="15">
        <v>-8.6709999999999999E-3</v>
      </c>
    </row>
    <row r="94" spans="1:9" x14ac:dyDescent="0.3">
      <c r="A94" t="s">
        <v>37</v>
      </c>
      <c r="B94" s="15">
        <v>-204.72791599999999</v>
      </c>
      <c r="D94" t="s">
        <v>149</v>
      </c>
      <c r="E94">
        <v>-204.84277399999999</v>
      </c>
      <c r="H94" t="s">
        <v>149</v>
      </c>
      <c r="I94" s="15">
        <v>-204.84277399999999</v>
      </c>
    </row>
    <row r="95" spans="1:9" x14ac:dyDescent="0.3">
      <c r="A95" t="s">
        <v>75</v>
      </c>
      <c r="B95" s="15">
        <v>-204.725291</v>
      </c>
      <c r="D95" t="s">
        <v>150</v>
      </c>
      <c r="E95">
        <v>-204.84016399999999</v>
      </c>
      <c r="H95" t="s">
        <v>150</v>
      </c>
      <c r="I95" s="15">
        <v>-204.84016399999999</v>
      </c>
    </row>
    <row r="96" spans="1:9" x14ac:dyDescent="0.3">
      <c r="A96" t="s">
        <v>39</v>
      </c>
      <c r="B96" s="15">
        <v>-204.72434699999999</v>
      </c>
      <c r="D96" t="s">
        <v>151</v>
      </c>
      <c r="E96">
        <v>-204.83921900000001</v>
      </c>
      <c r="H96" t="s">
        <v>151</v>
      </c>
      <c r="I96" s="15">
        <v>-204.83921900000001</v>
      </c>
    </row>
    <row r="97" spans="1:9" x14ac:dyDescent="0.3">
      <c r="A97" t="s">
        <v>71</v>
      </c>
      <c r="B97" s="15">
        <v>-204.74860799999999</v>
      </c>
      <c r="D97" t="s">
        <v>152</v>
      </c>
      <c r="E97">
        <v>-204.86345399999999</v>
      </c>
      <c r="H97" t="s">
        <v>152</v>
      </c>
      <c r="I97" s="15">
        <v>-204.86345399999999</v>
      </c>
    </row>
    <row r="99" spans="1:9" x14ac:dyDescent="0.3">
      <c r="A99" t="s">
        <v>220</v>
      </c>
      <c r="D99" t="s">
        <v>241</v>
      </c>
    </row>
    <row r="100" spans="1:9" x14ac:dyDescent="0.3">
      <c r="A100" t="s">
        <v>142</v>
      </c>
      <c r="B100" t="s">
        <v>221</v>
      </c>
      <c r="D100" t="s">
        <v>142</v>
      </c>
      <c r="E100" t="s">
        <v>242</v>
      </c>
    </row>
    <row r="101" spans="1:9" x14ac:dyDescent="0.3">
      <c r="A101" t="s">
        <v>144</v>
      </c>
      <c r="B101" t="s">
        <v>222</v>
      </c>
      <c r="D101" t="s">
        <v>144</v>
      </c>
      <c r="E101" t="s">
        <v>243</v>
      </c>
    </row>
    <row r="102" spans="1:9" x14ac:dyDescent="0.3">
      <c r="A102" t="s">
        <v>146</v>
      </c>
      <c r="B102">
        <v>0.27149800000000002</v>
      </c>
      <c r="D102" t="s">
        <v>146</v>
      </c>
      <c r="E102">
        <v>0.27035100000000001</v>
      </c>
    </row>
    <row r="103" spans="1:9" x14ac:dyDescent="0.3">
      <c r="A103" t="s">
        <v>147</v>
      </c>
      <c r="B103">
        <v>0.27244200000000002</v>
      </c>
      <c r="D103" t="s">
        <v>147</v>
      </c>
      <c r="E103">
        <v>0.27129500000000001</v>
      </c>
    </row>
    <row r="104" spans="1:9" x14ac:dyDescent="0.3">
      <c r="A104" t="s">
        <v>148</v>
      </c>
      <c r="B104">
        <v>0.205817</v>
      </c>
      <c r="D104" t="s">
        <v>148</v>
      </c>
      <c r="E104">
        <v>0.207037</v>
      </c>
    </row>
    <row r="105" spans="1:9" x14ac:dyDescent="0.3">
      <c r="A105" t="s">
        <v>149</v>
      </c>
      <c r="B105">
        <v>-970.092668</v>
      </c>
      <c r="D105" t="s">
        <v>149</v>
      </c>
      <c r="E105">
        <v>-970.11194699999999</v>
      </c>
    </row>
    <row r="106" spans="1:9" x14ac:dyDescent="0.3">
      <c r="A106" t="s">
        <v>150</v>
      </c>
      <c r="B106">
        <v>-970.074341</v>
      </c>
      <c r="D106" t="s">
        <v>150</v>
      </c>
      <c r="E106">
        <v>-970.09440800000004</v>
      </c>
    </row>
    <row r="107" spans="1:9" x14ac:dyDescent="0.3">
      <c r="A107" t="s">
        <v>151</v>
      </c>
      <c r="B107">
        <v>-970.073396</v>
      </c>
      <c r="D107" t="s">
        <v>151</v>
      </c>
      <c r="E107">
        <v>-970.09346400000004</v>
      </c>
    </row>
    <row r="108" spans="1:9" x14ac:dyDescent="0.3">
      <c r="A108" t="s">
        <v>152</v>
      </c>
      <c r="B108">
        <v>-970.14002100000005</v>
      </c>
      <c r="D108" t="s">
        <v>152</v>
      </c>
      <c r="E108">
        <v>-970.15772200000004</v>
      </c>
    </row>
    <row r="110" spans="1:9" hidden="1" x14ac:dyDescent="0.3">
      <c r="B110" s="1" t="s">
        <v>209</v>
      </c>
      <c r="D110" s="1" t="s">
        <v>209</v>
      </c>
    </row>
    <row r="111" spans="1:9" hidden="1" x14ac:dyDescent="0.3">
      <c r="A111" t="s">
        <v>171</v>
      </c>
      <c r="D111" t="s">
        <v>197</v>
      </c>
    </row>
    <row r="112" spans="1:9" hidden="1" x14ac:dyDescent="0.3">
      <c r="A112" t="s">
        <v>142</v>
      </c>
      <c r="B112" t="s">
        <v>172</v>
      </c>
      <c r="D112" t="s">
        <v>142</v>
      </c>
      <c r="E112" t="s">
        <v>198</v>
      </c>
    </row>
    <row r="113" spans="1:5" hidden="1" x14ac:dyDescent="0.3">
      <c r="A113" t="s">
        <v>144</v>
      </c>
      <c r="B113" t="s">
        <v>173</v>
      </c>
      <c r="D113" t="s">
        <v>144</v>
      </c>
      <c r="E113" t="s">
        <v>199</v>
      </c>
    </row>
    <row r="114" spans="1:5" hidden="1" x14ac:dyDescent="0.3">
      <c r="A114" t="s">
        <v>146</v>
      </c>
      <c r="B114">
        <v>0.27149800000000002</v>
      </c>
      <c r="D114" t="s">
        <v>146</v>
      </c>
      <c r="E114">
        <v>0.27040999999999998</v>
      </c>
    </row>
    <row r="115" spans="1:5" hidden="1" x14ac:dyDescent="0.3">
      <c r="A115" t="s">
        <v>147</v>
      </c>
      <c r="B115">
        <v>0.27244200000000002</v>
      </c>
      <c r="D115" t="s">
        <v>147</v>
      </c>
      <c r="E115">
        <v>0.27135500000000001</v>
      </c>
    </row>
    <row r="116" spans="1:5" hidden="1" x14ac:dyDescent="0.3">
      <c r="A116" t="s">
        <v>148</v>
      </c>
      <c r="B116">
        <v>0.20581099999999999</v>
      </c>
      <c r="D116" t="s">
        <v>148</v>
      </c>
      <c r="E116">
        <v>0.207236</v>
      </c>
    </row>
    <row r="117" spans="1:5" hidden="1" x14ac:dyDescent="0.3">
      <c r="A117" t="s">
        <v>149</v>
      </c>
      <c r="B117">
        <v>-970.09267</v>
      </c>
      <c r="D117" t="s">
        <v>149</v>
      </c>
      <c r="E117">
        <v>-970.11184100000003</v>
      </c>
    </row>
    <row r="118" spans="1:5" hidden="1" x14ac:dyDescent="0.3">
      <c r="A118" t="s">
        <v>150</v>
      </c>
      <c r="B118">
        <v>-970.074341</v>
      </c>
      <c r="D118" t="s">
        <v>150</v>
      </c>
      <c r="E118">
        <v>-970.09434299999998</v>
      </c>
    </row>
    <row r="119" spans="1:5" hidden="1" x14ac:dyDescent="0.3">
      <c r="A119" t="s">
        <v>151</v>
      </c>
      <c r="B119">
        <v>-970.073397</v>
      </c>
      <c r="D119" t="s">
        <v>151</v>
      </c>
      <c r="E119">
        <v>-970.09339899999998</v>
      </c>
    </row>
    <row r="120" spans="1:5" hidden="1" x14ac:dyDescent="0.3">
      <c r="A120" t="s">
        <v>152</v>
      </c>
      <c r="B120">
        <v>-970.14002800000003</v>
      </c>
      <c r="D120" t="s">
        <v>152</v>
      </c>
      <c r="E120">
        <v>-970.15751799999998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workbookViewId="0">
      <selection activeCell="G13" sqref="G13"/>
    </sheetView>
    <sheetView workbookViewId="1"/>
  </sheetViews>
  <sheetFormatPr defaultRowHeight="14.4" x14ac:dyDescent="0.3"/>
  <cols>
    <col min="1" max="1" width="52.109375" bestFit="1" customWidth="1"/>
    <col min="2" max="2" width="10.44140625" style="14" bestFit="1" customWidth="1"/>
    <col min="7" max="7" width="41.44140625" bestFit="1" customWidth="1"/>
    <col min="8" max="8" width="37.109375" bestFit="1" customWidth="1"/>
  </cols>
  <sheetData>
    <row r="1" spans="1:8" x14ac:dyDescent="0.3">
      <c r="A1" t="s">
        <v>123</v>
      </c>
      <c r="H1" t="s">
        <v>183</v>
      </c>
    </row>
    <row r="2" spans="1:8" x14ac:dyDescent="0.3">
      <c r="A2" t="s">
        <v>124</v>
      </c>
    </row>
    <row r="4" spans="1:8" x14ac:dyDescent="0.3">
      <c r="A4" s="10" t="s">
        <v>65</v>
      </c>
      <c r="B4" s="17" t="s">
        <v>209</v>
      </c>
      <c r="H4" s="17" t="s">
        <v>209</v>
      </c>
    </row>
    <row r="5" spans="1:8" x14ac:dyDescent="0.3">
      <c r="A5" t="s">
        <v>174</v>
      </c>
    </row>
    <row r="6" spans="1:8" x14ac:dyDescent="0.3">
      <c r="A6" t="s">
        <v>159</v>
      </c>
      <c r="B6" s="14" t="s">
        <v>175</v>
      </c>
    </row>
    <row r="7" spans="1:8" x14ac:dyDescent="0.3">
      <c r="A7" t="s">
        <v>144</v>
      </c>
      <c r="B7" s="14" t="s">
        <v>176</v>
      </c>
    </row>
    <row r="8" spans="1:8" x14ac:dyDescent="0.3">
      <c r="A8" t="s">
        <v>146</v>
      </c>
      <c r="B8" s="14">
        <v>0.28677599999999998</v>
      </c>
    </row>
    <row r="9" spans="1:8" x14ac:dyDescent="0.3">
      <c r="A9" t="s">
        <v>147</v>
      </c>
      <c r="B9" s="14">
        <v>0.287721</v>
      </c>
    </row>
    <row r="10" spans="1:8" x14ac:dyDescent="0.3">
      <c r="A10" t="s">
        <v>148</v>
      </c>
      <c r="B10" s="14">
        <v>0.220882</v>
      </c>
    </row>
    <row r="11" spans="1:8" x14ac:dyDescent="0.3">
      <c r="A11" t="s">
        <v>149</v>
      </c>
      <c r="B11" s="14">
        <v>-968.26442399999996</v>
      </c>
    </row>
    <row r="12" spans="1:8" x14ac:dyDescent="0.3">
      <c r="A12" t="s">
        <v>150</v>
      </c>
      <c r="B12" s="14">
        <v>-968.24587599999995</v>
      </c>
    </row>
    <row r="13" spans="1:8" x14ac:dyDescent="0.3">
      <c r="A13" t="s">
        <v>151</v>
      </c>
      <c r="B13" s="14">
        <v>-968.24493199999995</v>
      </c>
    </row>
    <row r="14" spans="1:8" x14ac:dyDescent="0.3">
      <c r="A14" t="s">
        <v>152</v>
      </c>
      <c r="B14" s="14">
        <v>-968.31177000000002</v>
      </c>
    </row>
    <row r="18" spans="1:10" x14ac:dyDescent="0.3">
      <c r="A18" t="s">
        <v>15</v>
      </c>
    </row>
    <row r="19" spans="1:10" x14ac:dyDescent="0.3">
      <c r="A19" t="s">
        <v>158</v>
      </c>
      <c r="B19" s="17" t="s">
        <v>209</v>
      </c>
      <c r="H19" s="17" t="s">
        <v>209</v>
      </c>
    </row>
    <row r="20" spans="1:10" x14ac:dyDescent="0.3">
      <c r="A20" t="s">
        <v>159</v>
      </c>
      <c r="B20" s="14" t="s">
        <v>160</v>
      </c>
    </row>
    <row r="21" spans="1:10" x14ac:dyDescent="0.3">
      <c r="A21" t="s">
        <v>144</v>
      </c>
      <c r="B21" s="14" t="s">
        <v>161</v>
      </c>
    </row>
    <row r="22" spans="1:10" x14ac:dyDescent="0.3">
      <c r="A22" t="s">
        <v>146</v>
      </c>
      <c r="B22" s="14">
        <v>0.286773</v>
      </c>
    </row>
    <row r="23" spans="1:10" x14ac:dyDescent="0.3">
      <c r="A23" t="s">
        <v>147</v>
      </c>
      <c r="B23" s="14">
        <v>0.287717</v>
      </c>
    </row>
    <row r="24" spans="1:10" x14ac:dyDescent="0.3">
      <c r="A24" t="s">
        <v>148</v>
      </c>
      <c r="B24" s="14">
        <v>0.22087499999999999</v>
      </c>
    </row>
    <row r="25" spans="1:10" x14ac:dyDescent="0.3">
      <c r="A25" t="s">
        <v>149</v>
      </c>
      <c r="B25" s="14">
        <v>-968.26442899999995</v>
      </c>
    </row>
    <row r="26" spans="1:10" x14ac:dyDescent="0.3">
      <c r="A26" t="s">
        <v>150</v>
      </c>
      <c r="B26" s="14">
        <v>-968.24587899999995</v>
      </c>
    </row>
    <row r="27" spans="1:10" x14ac:dyDescent="0.3">
      <c r="A27" t="s">
        <v>151</v>
      </c>
      <c r="B27" s="14">
        <v>-968.24493500000005</v>
      </c>
    </row>
    <row r="28" spans="1:10" x14ac:dyDescent="0.3">
      <c r="A28" t="s">
        <v>152</v>
      </c>
      <c r="B28" s="14">
        <v>-968.31177700000001</v>
      </c>
    </row>
    <row r="31" spans="1:10" x14ac:dyDescent="0.3">
      <c r="A31" t="s">
        <v>64</v>
      </c>
    </row>
    <row r="32" spans="1:10" x14ac:dyDescent="0.3">
      <c r="A32" t="s">
        <v>177</v>
      </c>
      <c r="B32" s="17" t="s">
        <v>209</v>
      </c>
      <c r="G32" t="s">
        <v>200</v>
      </c>
      <c r="H32" s="17" t="s">
        <v>209</v>
      </c>
      <c r="J32" t="s">
        <v>232</v>
      </c>
    </row>
    <row r="33" spans="1:10" x14ac:dyDescent="0.3">
      <c r="A33" t="s">
        <v>159</v>
      </c>
      <c r="B33" s="14" t="s">
        <v>178</v>
      </c>
      <c r="G33" t="s">
        <v>159</v>
      </c>
      <c r="H33" t="s">
        <v>201</v>
      </c>
      <c r="J33" t="s">
        <v>231</v>
      </c>
    </row>
    <row r="34" spans="1:10" x14ac:dyDescent="0.3">
      <c r="A34" t="s">
        <v>144</v>
      </c>
      <c r="B34" s="14" t="s">
        <v>179</v>
      </c>
      <c r="G34" t="s">
        <v>144</v>
      </c>
      <c r="H34" t="s">
        <v>202</v>
      </c>
      <c r="J34" t="s">
        <v>223</v>
      </c>
    </row>
    <row r="35" spans="1:10" x14ac:dyDescent="0.3">
      <c r="A35" t="s">
        <v>146</v>
      </c>
      <c r="B35" s="14">
        <v>0.28871599999999997</v>
      </c>
      <c r="G35" t="s">
        <v>146</v>
      </c>
      <c r="H35">
        <v>0.27834999999999999</v>
      </c>
      <c r="J35" t="s">
        <v>224</v>
      </c>
    </row>
    <row r="36" spans="1:10" x14ac:dyDescent="0.3">
      <c r="A36" t="s">
        <v>147</v>
      </c>
      <c r="B36" s="14">
        <v>0.28965999999999997</v>
      </c>
      <c r="G36" t="s">
        <v>147</v>
      </c>
      <c r="H36">
        <v>0.27929399999999999</v>
      </c>
      <c r="J36" t="s">
        <v>225</v>
      </c>
    </row>
    <row r="37" spans="1:10" x14ac:dyDescent="0.3">
      <c r="A37" t="s">
        <v>148</v>
      </c>
      <c r="B37" s="14">
        <v>0.224189</v>
      </c>
      <c r="G37" t="s">
        <v>148</v>
      </c>
      <c r="H37">
        <v>0.22221299999999999</v>
      </c>
      <c r="J37" t="s">
        <v>226</v>
      </c>
    </row>
    <row r="38" spans="1:10" x14ac:dyDescent="0.3">
      <c r="A38" t="s">
        <v>149</v>
      </c>
      <c r="B38" s="14">
        <v>-968.24195499999996</v>
      </c>
      <c r="G38" t="s">
        <v>149</v>
      </c>
      <c r="H38">
        <v>-968.33159599999999</v>
      </c>
      <c r="J38" t="s">
        <v>227</v>
      </c>
    </row>
    <row r="39" spans="1:10" x14ac:dyDescent="0.3">
      <c r="A39" t="s">
        <v>150</v>
      </c>
      <c r="B39" s="14">
        <v>-968.22375499999998</v>
      </c>
      <c r="G39" t="s">
        <v>150</v>
      </c>
      <c r="H39">
        <v>-968.31682499999999</v>
      </c>
      <c r="J39" t="s">
        <v>228</v>
      </c>
    </row>
    <row r="40" spans="1:10" x14ac:dyDescent="0.3">
      <c r="A40" t="s">
        <v>151</v>
      </c>
      <c r="B40" s="14">
        <v>-968.22281099999998</v>
      </c>
      <c r="G40" t="s">
        <v>151</v>
      </c>
      <c r="H40">
        <v>-968.31588099999999</v>
      </c>
      <c r="J40" t="s">
        <v>229</v>
      </c>
    </row>
    <row r="41" spans="1:10" x14ac:dyDescent="0.3">
      <c r="A41" t="s">
        <v>152</v>
      </c>
      <c r="B41" s="14">
        <v>-968.28828199999998</v>
      </c>
      <c r="G41" t="s">
        <v>152</v>
      </c>
      <c r="H41">
        <v>-968.37296200000003</v>
      </c>
      <c r="J41" t="s">
        <v>230</v>
      </c>
    </row>
    <row r="43" spans="1:10" x14ac:dyDescent="0.3">
      <c r="A43" t="s">
        <v>165</v>
      </c>
      <c r="G43" t="s">
        <v>203</v>
      </c>
      <c r="H43" s="17" t="s">
        <v>209</v>
      </c>
      <c r="J43" t="s">
        <v>380</v>
      </c>
    </row>
    <row r="44" spans="1:10" x14ac:dyDescent="0.3">
      <c r="A44" t="s">
        <v>159</v>
      </c>
      <c r="B44" s="14" t="s">
        <v>166</v>
      </c>
      <c r="G44" t="s">
        <v>159</v>
      </c>
      <c r="H44" t="s">
        <v>204</v>
      </c>
      <c r="J44" t="s">
        <v>379</v>
      </c>
    </row>
    <row r="45" spans="1:10" x14ac:dyDescent="0.3">
      <c r="A45" t="s">
        <v>144</v>
      </c>
      <c r="B45" s="14" t="s">
        <v>167</v>
      </c>
      <c r="G45" t="s">
        <v>144</v>
      </c>
      <c r="H45" t="s">
        <v>205</v>
      </c>
      <c r="J45" t="s">
        <v>371</v>
      </c>
    </row>
    <row r="46" spans="1:10" x14ac:dyDescent="0.3">
      <c r="A46" t="s">
        <v>146</v>
      </c>
      <c r="B46" s="14">
        <v>2.4451000000000001E-2</v>
      </c>
      <c r="G46" t="s">
        <v>146</v>
      </c>
      <c r="H46">
        <v>2.4326E-2</v>
      </c>
      <c r="J46" t="s">
        <v>372</v>
      </c>
    </row>
    <row r="47" spans="1:10" x14ac:dyDescent="0.3">
      <c r="A47" t="s">
        <v>147</v>
      </c>
      <c r="B47" s="14">
        <v>2.5395000000000001E-2</v>
      </c>
      <c r="G47" t="s">
        <v>147</v>
      </c>
      <c r="H47">
        <v>2.5270000000000001E-2</v>
      </c>
      <c r="J47" t="s">
        <v>373</v>
      </c>
    </row>
    <row r="48" spans="1:10" x14ac:dyDescent="0.3">
      <c r="A48" t="s">
        <v>148</v>
      </c>
      <c r="B48" s="14">
        <v>3.9760000000000004E-3</v>
      </c>
      <c r="G48" t="s">
        <v>148</v>
      </c>
      <c r="H48">
        <v>3.8430000000000001E-3</v>
      </c>
      <c r="J48" t="s">
        <v>374</v>
      </c>
    </row>
    <row r="49" spans="1:10" x14ac:dyDescent="0.3">
      <c r="A49" t="s">
        <v>149</v>
      </c>
      <c r="B49" s="14">
        <v>-76.258730999999997</v>
      </c>
      <c r="G49" t="s">
        <v>149</v>
      </c>
      <c r="H49">
        <v>-76.266401999999999</v>
      </c>
      <c r="J49" t="s">
        <v>375</v>
      </c>
    </row>
    <row r="50" spans="1:10" x14ac:dyDescent="0.3">
      <c r="A50" t="s">
        <v>150</v>
      </c>
      <c r="B50" s="14">
        <v>-76.255896000000007</v>
      </c>
      <c r="G50" t="s">
        <v>150</v>
      </c>
      <c r="H50">
        <v>-76.263565999999997</v>
      </c>
      <c r="J50" t="s">
        <v>376</v>
      </c>
    </row>
    <row r="51" spans="1:10" x14ac:dyDescent="0.3">
      <c r="A51" t="s">
        <v>151</v>
      </c>
      <c r="B51" s="14">
        <v>-76.254952000000003</v>
      </c>
      <c r="G51" t="s">
        <v>151</v>
      </c>
      <c r="H51">
        <v>-76.262621999999993</v>
      </c>
      <c r="J51" t="s">
        <v>377</v>
      </c>
    </row>
    <row r="52" spans="1:10" x14ac:dyDescent="0.3">
      <c r="A52" t="s">
        <v>152</v>
      </c>
      <c r="B52" s="14">
        <v>-76.276370999999997</v>
      </c>
      <c r="G52" t="s">
        <v>152</v>
      </c>
      <c r="H52">
        <v>-76.284049999999993</v>
      </c>
      <c r="J52" t="s">
        <v>378</v>
      </c>
    </row>
    <row r="55" spans="1:10" x14ac:dyDescent="0.3">
      <c r="A55" t="s">
        <v>168</v>
      </c>
      <c r="G55" t="s">
        <v>206</v>
      </c>
      <c r="H55" s="17" t="s">
        <v>209</v>
      </c>
      <c r="J55" t="s">
        <v>206</v>
      </c>
    </row>
    <row r="56" spans="1:10" x14ac:dyDescent="0.3">
      <c r="A56" t="s">
        <v>159</v>
      </c>
      <c r="B56" s="14" t="s">
        <v>169</v>
      </c>
      <c r="G56" t="s">
        <v>159</v>
      </c>
      <c r="H56" t="s">
        <v>207</v>
      </c>
      <c r="J56" t="s">
        <v>389</v>
      </c>
    </row>
    <row r="57" spans="1:10" x14ac:dyDescent="0.3">
      <c r="A57" t="s">
        <v>144</v>
      </c>
      <c r="B57" s="14" t="s">
        <v>170</v>
      </c>
      <c r="G57" t="s">
        <v>144</v>
      </c>
      <c r="H57" t="s">
        <v>208</v>
      </c>
      <c r="J57" t="s">
        <v>381</v>
      </c>
    </row>
    <row r="58" spans="1:10" x14ac:dyDescent="0.3">
      <c r="A58" t="s">
        <v>146</v>
      </c>
      <c r="B58" s="14">
        <v>3.5915999999999997E-2</v>
      </c>
      <c r="G58" t="s">
        <v>146</v>
      </c>
      <c r="H58">
        <v>3.40977</v>
      </c>
      <c r="J58" t="s">
        <v>382</v>
      </c>
    </row>
    <row r="59" spans="1:10" x14ac:dyDescent="0.3">
      <c r="A59" t="s">
        <v>147</v>
      </c>
      <c r="B59" s="14">
        <v>3.6859999999999997E-2</v>
      </c>
      <c r="G59" t="s">
        <v>147</v>
      </c>
      <c r="H59">
        <v>3.410714</v>
      </c>
      <c r="J59" t="s">
        <v>383</v>
      </c>
    </row>
    <row r="60" spans="1:10" x14ac:dyDescent="0.3">
      <c r="A60" t="s">
        <v>148</v>
      </c>
      <c r="B60" s="14">
        <v>1.5027E-2</v>
      </c>
      <c r="G60" t="s">
        <v>148</v>
      </c>
      <c r="H60">
        <v>3.3878210000000002</v>
      </c>
      <c r="J60" t="s">
        <v>384</v>
      </c>
    </row>
    <row r="61" spans="1:10" x14ac:dyDescent="0.3">
      <c r="A61" t="s">
        <v>149</v>
      </c>
      <c r="B61" s="14">
        <v>-76.514898000000002</v>
      </c>
      <c r="G61" t="s">
        <v>149</v>
      </c>
      <c r="H61">
        <v>-73.268488000000005</v>
      </c>
      <c r="J61" t="s">
        <v>385</v>
      </c>
    </row>
    <row r="62" spans="1:10" x14ac:dyDescent="0.3">
      <c r="A62" t="s">
        <v>150</v>
      </c>
      <c r="B62" s="14">
        <v>-76.512060000000005</v>
      </c>
      <c r="G62" t="s">
        <v>150</v>
      </c>
      <c r="H62">
        <v>-73.265654999999995</v>
      </c>
      <c r="J62" t="s">
        <v>386</v>
      </c>
    </row>
    <row r="63" spans="1:10" x14ac:dyDescent="0.3">
      <c r="A63" t="s">
        <v>151</v>
      </c>
      <c r="B63" s="14">
        <v>-76.511116000000001</v>
      </c>
      <c r="G63" t="s">
        <v>151</v>
      </c>
      <c r="H63">
        <v>-73.264711000000005</v>
      </c>
      <c r="J63" t="s">
        <v>387</v>
      </c>
    </row>
    <row r="64" spans="1:10" x14ac:dyDescent="0.3">
      <c r="A64" t="s">
        <v>152</v>
      </c>
      <c r="B64" s="14">
        <v>-76.532949000000002</v>
      </c>
      <c r="G64" t="s">
        <v>152</v>
      </c>
      <c r="H64">
        <v>-73.287603000000004</v>
      </c>
      <c r="J64" t="s">
        <v>388</v>
      </c>
    </row>
    <row r="67" spans="1:8" x14ac:dyDescent="0.3">
      <c r="A67" t="s">
        <v>162</v>
      </c>
      <c r="H67" s="17" t="s">
        <v>209</v>
      </c>
    </row>
    <row r="68" spans="1:8" x14ac:dyDescent="0.3">
      <c r="A68" t="s">
        <v>159</v>
      </c>
      <c r="B68" s="14" t="s">
        <v>163</v>
      </c>
    </row>
    <row r="69" spans="1:8" x14ac:dyDescent="0.3">
      <c r="A69" t="s">
        <v>144</v>
      </c>
      <c r="B69" s="14" t="s">
        <v>164</v>
      </c>
    </row>
    <row r="70" spans="1:8" x14ac:dyDescent="0.3">
      <c r="A70" t="s">
        <v>146</v>
      </c>
      <c r="B70" s="14">
        <v>1.4274999999999999E-2</v>
      </c>
    </row>
    <row r="71" spans="1:8" x14ac:dyDescent="0.3">
      <c r="A71" t="s">
        <v>147</v>
      </c>
      <c r="B71" s="14">
        <v>1.5219999999999999E-2</v>
      </c>
    </row>
    <row r="72" spans="1:8" x14ac:dyDescent="0.3">
      <c r="A72" t="s">
        <v>148</v>
      </c>
      <c r="B72" s="14">
        <v>-9.1509999999999994E-3</v>
      </c>
    </row>
    <row r="73" spans="1:8" x14ac:dyDescent="0.3">
      <c r="A73" t="s">
        <v>149</v>
      </c>
      <c r="B73" s="14">
        <v>-204.35596000000001</v>
      </c>
    </row>
    <row r="74" spans="1:8" x14ac:dyDescent="0.3">
      <c r="A74" t="s">
        <v>150</v>
      </c>
      <c r="B74" s="14">
        <v>-204.35328000000001</v>
      </c>
    </row>
    <row r="75" spans="1:8" x14ac:dyDescent="0.3">
      <c r="A75" t="s">
        <v>151</v>
      </c>
      <c r="B75" s="14">
        <v>-204.35233600000001</v>
      </c>
    </row>
    <row r="76" spans="1:8" x14ac:dyDescent="0.3">
      <c r="A76" t="s">
        <v>152</v>
      </c>
      <c r="B76" s="14">
        <v>-204.37670600000001</v>
      </c>
    </row>
    <row r="78" spans="1:8" x14ac:dyDescent="0.3">
      <c r="H78" s="17" t="s">
        <v>209</v>
      </c>
    </row>
    <row r="79" spans="1:8" x14ac:dyDescent="0.3">
      <c r="A79" t="s">
        <v>180</v>
      </c>
      <c r="B79" s="17" t="s">
        <v>209</v>
      </c>
    </row>
    <row r="80" spans="1:8" x14ac:dyDescent="0.3">
      <c r="A80" t="s">
        <v>159</v>
      </c>
      <c r="B80" s="14" t="s">
        <v>181</v>
      </c>
    </row>
    <row r="81" spans="1:2" x14ac:dyDescent="0.3">
      <c r="A81" t="s">
        <v>144</v>
      </c>
      <c r="B81" s="14" t="s">
        <v>182</v>
      </c>
    </row>
    <row r="82" spans="1:2" x14ac:dyDescent="0.3">
      <c r="A82" t="s">
        <v>146</v>
      </c>
      <c r="B82" s="14">
        <v>0.27597500000000003</v>
      </c>
    </row>
    <row r="83" spans="1:2" x14ac:dyDescent="0.3">
      <c r="A83" t="s">
        <v>147</v>
      </c>
      <c r="B83" s="14">
        <v>0.27691900000000003</v>
      </c>
    </row>
    <row r="84" spans="1:2" x14ac:dyDescent="0.3">
      <c r="A84" t="s">
        <v>148</v>
      </c>
      <c r="B84" s="14">
        <v>0.211594</v>
      </c>
    </row>
    <row r="85" spans="1:2" x14ac:dyDescent="0.3">
      <c r="A85" t="s">
        <v>149</v>
      </c>
      <c r="B85" s="14">
        <v>-967.95011099999999</v>
      </c>
    </row>
    <row r="86" spans="1:2" x14ac:dyDescent="0.3">
      <c r="A86" t="s">
        <v>150</v>
      </c>
      <c r="B86" s="14">
        <v>-967.93217200000004</v>
      </c>
    </row>
    <row r="87" spans="1:2" x14ac:dyDescent="0.3">
      <c r="A87" t="s">
        <v>151</v>
      </c>
      <c r="B87" s="14">
        <v>-967.93122800000003</v>
      </c>
    </row>
    <row r="88" spans="1:2" x14ac:dyDescent="0.3">
      <c r="A88" t="s">
        <v>152</v>
      </c>
      <c r="B88" s="14">
        <v>-967.99655299999995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6"/>
  <sheetViews>
    <sheetView zoomScaleNormal="100" workbookViewId="0">
      <selection activeCell="N15" sqref="N15"/>
    </sheetView>
    <sheetView topLeftCell="A10" workbookViewId="1">
      <selection activeCell="B24" sqref="B24"/>
    </sheetView>
  </sheetViews>
  <sheetFormatPr defaultRowHeight="14.4" x14ac:dyDescent="0.3"/>
  <cols>
    <col min="1" max="1" width="13.33203125" customWidth="1"/>
    <col min="2" max="2" width="14.5546875" bestFit="1" customWidth="1"/>
    <col min="3" max="3" width="11.5546875" customWidth="1"/>
    <col min="4" max="4" width="2" bestFit="1" customWidth="1"/>
    <col min="5" max="5" width="10.5546875" customWidth="1"/>
    <col min="6" max="6" width="2.6640625" bestFit="1" customWidth="1"/>
    <col min="7" max="7" width="13.88671875" customWidth="1"/>
    <col min="8" max="8" width="2" bestFit="1" customWidth="1"/>
    <col min="9" max="9" width="11.5546875" customWidth="1"/>
    <col min="10" max="10" width="7.109375" style="69" customWidth="1"/>
    <col min="11" max="11" width="10.5546875" customWidth="1"/>
    <col min="12" max="12" width="10.33203125" bestFit="1" customWidth="1"/>
    <col min="13" max="13" width="12.33203125" style="49" bestFit="1" customWidth="1"/>
    <col min="14" max="14" width="11.33203125" bestFit="1" customWidth="1"/>
    <col min="15" max="15" width="43.88671875" style="1" customWidth="1"/>
    <col min="16" max="16" width="42.44140625" bestFit="1" customWidth="1"/>
    <col min="19" max="19" width="13" customWidth="1"/>
    <col min="20" max="20" width="11.33203125" bestFit="1" customWidth="1"/>
    <col min="22" max="23" width="12" bestFit="1" customWidth="1"/>
    <col min="24" max="24" width="8.6640625" bestFit="1" customWidth="1"/>
  </cols>
  <sheetData>
    <row r="1" spans="1:26" ht="15" thickBot="1" x14ac:dyDescent="0.35">
      <c r="A1" t="s">
        <v>101</v>
      </c>
      <c r="K1" t="s">
        <v>92</v>
      </c>
      <c r="L1" t="s">
        <v>93</v>
      </c>
      <c r="M1" s="49" t="s">
        <v>94</v>
      </c>
      <c r="N1" t="s">
        <v>95</v>
      </c>
    </row>
    <row r="2" spans="1:26" ht="15" thickBot="1" x14ac:dyDescent="0.35">
      <c r="A2" s="2" t="s">
        <v>25</v>
      </c>
      <c r="B2" s="3"/>
      <c r="C2" s="3"/>
      <c r="D2" s="3"/>
      <c r="E2" s="3"/>
      <c r="F2" s="3"/>
      <c r="G2" s="3"/>
      <c r="H2" s="3"/>
      <c r="I2" s="3"/>
      <c r="J2" s="70"/>
      <c r="K2" s="7"/>
      <c r="L2" s="9"/>
      <c r="P2" s="9" t="s">
        <v>84</v>
      </c>
      <c r="Q2" s="9" t="s">
        <v>90</v>
      </c>
      <c r="R2" s="9"/>
      <c r="S2" s="9"/>
      <c r="T2" s="9"/>
      <c r="U2" s="9"/>
      <c r="Y2" s="9"/>
      <c r="Z2" s="9"/>
    </row>
    <row r="3" spans="1:26" ht="15" thickBot="1" x14ac:dyDescent="0.35">
      <c r="A3" s="2" t="s">
        <v>51</v>
      </c>
      <c r="B3" s="3"/>
      <c r="C3" s="3" t="s">
        <v>26</v>
      </c>
      <c r="D3" s="3" t="s">
        <v>27</v>
      </c>
      <c r="E3" s="3" t="s">
        <v>28</v>
      </c>
      <c r="F3" s="4" t="s">
        <v>29</v>
      </c>
      <c r="G3" s="3" t="s">
        <v>30</v>
      </c>
      <c r="H3" s="3" t="s">
        <v>27</v>
      </c>
      <c r="I3" s="3" t="s">
        <v>31</v>
      </c>
      <c r="J3" s="70"/>
      <c r="K3" s="8" t="s">
        <v>50</v>
      </c>
      <c r="L3" s="12"/>
      <c r="M3" s="50"/>
      <c r="P3" s="29" t="s">
        <v>85</v>
      </c>
      <c r="Q3" s="9" t="s">
        <v>91</v>
      </c>
      <c r="R3" s="11"/>
      <c r="S3" s="9"/>
      <c r="T3" s="9"/>
      <c r="U3" s="9"/>
      <c r="Y3" s="9"/>
      <c r="Z3" s="12"/>
    </row>
    <row r="4" spans="1:26" x14ac:dyDescent="0.3">
      <c r="A4" s="30"/>
      <c r="B4" s="9"/>
      <c r="C4" s="9"/>
      <c r="D4" s="9"/>
      <c r="E4" s="9"/>
      <c r="F4" s="11"/>
      <c r="G4" s="28" t="s">
        <v>89</v>
      </c>
      <c r="H4" s="9"/>
      <c r="I4" s="9"/>
      <c r="J4" s="71"/>
      <c r="K4" s="8"/>
      <c r="L4" s="12"/>
      <c r="M4" s="50"/>
      <c r="P4" s="9"/>
      <c r="Q4" s="9"/>
      <c r="R4" s="11"/>
      <c r="S4" s="9"/>
      <c r="T4" s="9"/>
      <c r="U4" s="9"/>
      <c r="Y4" s="9"/>
      <c r="Z4" s="12"/>
    </row>
    <row r="5" spans="1:26" x14ac:dyDescent="0.3">
      <c r="A5" s="30" t="s">
        <v>83</v>
      </c>
      <c r="B5" s="9"/>
      <c r="C5" s="20">
        <v>-969.84351800000002</v>
      </c>
      <c r="D5" s="20"/>
      <c r="E5" s="20">
        <v>-76.675348</v>
      </c>
      <c r="F5" s="11"/>
      <c r="G5" s="41">
        <v>-969.84351800000002</v>
      </c>
      <c r="H5" s="42"/>
      <c r="I5" s="41">
        <v>-76.675348</v>
      </c>
      <c r="J5" s="71"/>
      <c r="K5" s="18">
        <f>(G5+I5)-(C5+E5)</f>
        <v>0</v>
      </c>
      <c r="L5" s="20">
        <f>K5*27</f>
        <v>0</v>
      </c>
      <c r="M5" s="51">
        <f>$K5*2600</f>
        <v>0</v>
      </c>
      <c r="N5" s="20">
        <f>$K5*630</f>
        <v>0</v>
      </c>
      <c r="P5" s="9"/>
      <c r="Q5" s="9"/>
      <c r="R5" s="11"/>
      <c r="S5" s="9"/>
      <c r="T5" s="9"/>
      <c r="U5" s="9"/>
      <c r="Y5" s="9"/>
      <c r="Z5" s="12"/>
    </row>
    <row r="6" spans="1:26" x14ac:dyDescent="0.3">
      <c r="A6" s="30" t="s">
        <v>120</v>
      </c>
      <c r="B6" s="9"/>
      <c r="C6">
        <v>-967.99655199999995</v>
      </c>
      <c r="D6" s="20"/>
      <c r="E6" s="20"/>
      <c r="F6" s="11"/>
      <c r="G6" s="41"/>
      <c r="H6" s="42"/>
      <c r="I6" s="41"/>
      <c r="J6" s="71"/>
      <c r="K6" s="18"/>
      <c r="L6" s="20"/>
      <c r="M6" s="51"/>
      <c r="N6" s="20"/>
      <c r="P6" s="9"/>
      <c r="Q6" s="9"/>
      <c r="R6" s="11"/>
      <c r="S6" s="9"/>
      <c r="T6" s="9"/>
      <c r="U6" s="9"/>
      <c r="Y6" s="9"/>
      <c r="Z6" s="12"/>
    </row>
    <row r="7" spans="1:26" x14ac:dyDescent="0.3">
      <c r="A7" s="30" t="s">
        <v>121</v>
      </c>
      <c r="B7" s="9"/>
      <c r="C7">
        <v>-970.14002100000005</v>
      </c>
      <c r="D7" s="20"/>
      <c r="E7">
        <v>-76.696949000000004</v>
      </c>
      <c r="F7" s="11"/>
      <c r="G7" s="41"/>
      <c r="H7" s="42"/>
      <c r="I7">
        <v>-76.436966999999996</v>
      </c>
      <c r="J7" s="71"/>
      <c r="K7" s="18"/>
      <c r="L7" s="20"/>
      <c r="M7" s="51"/>
      <c r="N7" s="20"/>
      <c r="P7" s="9"/>
      <c r="Q7" s="9"/>
      <c r="R7" s="11"/>
      <c r="S7" s="9"/>
      <c r="T7" s="9"/>
      <c r="U7" s="9"/>
      <c r="Y7" s="9"/>
      <c r="Z7" s="12"/>
    </row>
    <row r="8" spans="1:26" ht="15" thickBot="1" x14ac:dyDescent="0.35">
      <c r="A8" s="30"/>
      <c r="B8" s="9"/>
      <c r="C8" s="20"/>
      <c r="D8" s="20"/>
      <c r="E8" s="20"/>
      <c r="F8" s="20"/>
      <c r="G8" s="20"/>
      <c r="H8" s="20"/>
      <c r="I8" s="20"/>
      <c r="J8" s="72"/>
      <c r="K8" s="18"/>
      <c r="L8" s="20"/>
      <c r="M8" s="51"/>
      <c r="N8" s="20"/>
      <c r="P8" s="9"/>
      <c r="Q8" s="9"/>
      <c r="R8" s="9"/>
      <c r="S8" s="9"/>
      <c r="T8" s="9"/>
      <c r="U8" s="9"/>
      <c r="Y8" s="9"/>
      <c r="Z8" s="9"/>
    </row>
    <row r="9" spans="1:26" x14ac:dyDescent="0.3">
      <c r="A9" s="30" t="s">
        <v>42</v>
      </c>
      <c r="B9" s="9"/>
      <c r="C9" s="20">
        <v>-969.84351800000002</v>
      </c>
      <c r="D9" s="20"/>
      <c r="E9" s="20">
        <v>-76.675348</v>
      </c>
      <c r="F9" s="20"/>
      <c r="G9" s="31">
        <v>-970.15640699999994</v>
      </c>
      <c r="H9" s="20"/>
      <c r="I9" s="20">
        <v>-76.411471000000006</v>
      </c>
      <c r="J9" s="72"/>
      <c r="K9" s="18">
        <f>(G9+I9)-(C9+E9)</f>
        <v>-4.9011999999720501E-2</v>
      </c>
      <c r="L9" s="20">
        <f t="shared" ref="L9:L41" si="0">K9*27</f>
        <v>-1.3233239999924535</v>
      </c>
      <c r="M9" s="51">
        <f>$K9*2600</f>
        <v>-127.4311999992733</v>
      </c>
      <c r="N9" s="128">
        <f>$K9*630</f>
        <v>-30.877559999823916</v>
      </c>
      <c r="O9" s="1" t="s">
        <v>86</v>
      </c>
      <c r="P9" s="9" t="s">
        <v>77</v>
      </c>
      <c r="Q9" s="9"/>
      <c r="R9" s="9"/>
      <c r="S9" s="31">
        <f>G9+I9</f>
        <v>-1046.5678779999998</v>
      </c>
      <c r="T9" s="20">
        <f>C9+E9</f>
        <v>-1046.5188660000001</v>
      </c>
      <c r="U9" s="20">
        <f>S9-T9</f>
        <v>-4.9011999999720501E-2</v>
      </c>
      <c r="Y9" s="9"/>
      <c r="Z9" s="9"/>
    </row>
    <row r="10" spans="1:26" x14ac:dyDescent="0.3">
      <c r="A10" s="30" t="s">
        <v>120</v>
      </c>
      <c r="B10">
        <v>-967.99655299999995</v>
      </c>
      <c r="C10">
        <v>-967.99655199999995</v>
      </c>
      <c r="D10" s="20"/>
      <c r="E10">
        <v>-76.532949000000002</v>
      </c>
      <c r="F10" s="11"/>
      <c r="G10" s="14">
        <v>-968.31177700000001</v>
      </c>
      <c r="H10" s="42"/>
      <c r="I10">
        <v>-76.276370999999997</v>
      </c>
      <c r="J10" s="71"/>
      <c r="K10" s="18">
        <f t="shared" ref="K10:K11" si="1">(G10+I10)-(C10+E10)</f>
        <v>-5.8647000000064509E-2</v>
      </c>
      <c r="L10" s="20">
        <f t="shared" si="0"/>
        <v>-1.5834690000017417</v>
      </c>
      <c r="M10" s="51">
        <f t="shared" ref="M10:M11" si="2">$K10*2600</f>
        <v>-152.48220000016772</v>
      </c>
      <c r="N10" s="129">
        <f t="shared" ref="N10:N11" si="3">$K10*630</f>
        <v>-36.94761000004064</v>
      </c>
      <c r="P10" s="9"/>
      <c r="Q10" s="9"/>
      <c r="R10" s="11"/>
      <c r="S10" s="9"/>
      <c r="T10" s="9"/>
      <c r="U10" s="9"/>
      <c r="Y10" s="9"/>
      <c r="Z10" s="12"/>
    </row>
    <row r="11" spans="1:26" x14ac:dyDescent="0.3">
      <c r="A11" s="30" t="s">
        <v>121</v>
      </c>
      <c r="B11" s="9"/>
      <c r="C11">
        <v>-970.14002100000005</v>
      </c>
      <c r="D11" s="20"/>
      <c r="E11">
        <v>-76.696949000000004</v>
      </c>
      <c r="F11" s="11"/>
      <c r="G11">
        <v>-970.45077500000002</v>
      </c>
      <c r="H11" s="42"/>
      <c r="I11">
        <v>-76.436966999999996</v>
      </c>
      <c r="J11" s="71"/>
      <c r="K11" s="18">
        <f t="shared" si="1"/>
        <v>-5.0772000000051776E-2</v>
      </c>
      <c r="L11" s="20">
        <f t="shared" si="0"/>
        <v>-1.3708440000013979</v>
      </c>
      <c r="M11" s="51">
        <f t="shared" si="2"/>
        <v>-132.00720000013462</v>
      </c>
      <c r="N11" s="129">
        <f t="shared" si="3"/>
        <v>-31.986360000032619</v>
      </c>
      <c r="P11" s="9"/>
      <c r="Q11" s="9"/>
      <c r="R11" s="11"/>
      <c r="S11" s="9"/>
      <c r="T11" s="9"/>
      <c r="U11" s="9"/>
      <c r="Y11" s="9"/>
      <c r="Z11" s="12"/>
    </row>
    <row r="12" spans="1:26" x14ac:dyDescent="0.3">
      <c r="A12" s="30"/>
      <c r="B12" s="9"/>
      <c r="C12" s="20"/>
      <c r="D12" s="20"/>
      <c r="E12" s="20"/>
      <c r="F12" s="20"/>
      <c r="G12">
        <v>-968.31177000000002</v>
      </c>
      <c r="H12" s="20"/>
      <c r="I12" s="20"/>
      <c r="J12" s="72"/>
      <c r="K12" s="18"/>
      <c r="L12" s="20"/>
      <c r="M12" s="51"/>
      <c r="N12" s="18"/>
      <c r="P12" s="9"/>
      <c r="Q12" s="9"/>
      <c r="R12" s="9"/>
      <c r="S12" s="9"/>
      <c r="T12" s="9"/>
      <c r="U12" s="9"/>
      <c r="Y12" s="9"/>
      <c r="Z12" s="9"/>
    </row>
    <row r="13" spans="1:26" x14ac:dyDescent="0.3">
      <c r="A13" s="30" t="s">
        <v>43</v>
      </c>
      <c r="B13" s="9"/>
      <c r="C13" s="20">
        <v>-969.84351800000002</v>
      </c>
      <c r="D13" s="20"/>
      <c r="E13" s="20">
        <v>-76.675348</v>
      </c>
      <c r="F13" s="20"/>
      <c r="G13" s="31">
        <v>-970.14410199999998</v>
      </c>
      <c r="H13" s="20"/>
      <c r="I13" s="20">
        <v>-76.411471000000006</v>
      </c>
      <c r="J13" s="72"/>
      <c r="K13" s="18">
        <f>(G13+I13)-(C13+E13)</f>
        <v>-3.6706999999978507E-2</v>
      </c>
      <c r="L13" s="20">
        <f t="shared" si="0"/>
        <v>-0.99108899999941968</v>
      </c>
      <c r="M13" s="51">
        <f>$K13*2600</f>
        <v>-95.438199999944118</v>
      </c>
      <c r="N13" s="18">
        <f>$K13*630</f>
        <v>-23.125409999986459</v>
      </c>
      <c r="O13" s="1" t="s">
        <v>100</v>
      </c>
      <c r="P13" s="9"/>
      <c r="Q13" s="9"/>
      <c r="R13" s="9"/>
      <c r="S13" s="12"/>
      <c r="T13" s="9"/>
      <c r="U13" s="9"/>
      <c r="Y13" s="9"/>
      <c r="Z13" s="9"/>
    </row>
    <row r="14" spans="1:26" x14ac:dyDescent="0.3">
      <c r="A14" s="30" t="s">
        <v>120</v>
      </c>
      <c r="B14" s="9"/>
      <c r="C14">
        <v>-967.99655199999995</v>
      </c>
      <c r="D14" s="20"/>
      <c r="E14">
        <v>-76.532949000000002</v>
      </c>
      <c r="F14" s="11"/>
      <c r="G14">
        <v>-968.28828099999998</v>
      </c>
      <c r="H14" s="42"/>
      <c r="I14">
        <v>-76.276370999999997</v>
      </c>
      <c r="J14" s="71"/>
      <c r="K14" s="18">
        <f>(G14+I14)-(C14+E14)</f>
        <v>-3.5151000000041677E-2</v>
      </c>
      <c r="L14" s="20">
        <f t="shared" ref="L14" si="4">K14*27</f>
        <v>-0.94907700000112527</v>
      </c>
      <c r="M14" s="51">
        <f>$K14*2600</f>
        <v>-91.392600000108359</v>
      </c>
      <c r="N14" s="18">
        <f>$K14*630</f>
        <v>-22.145130000026256</v>
      </c>
      <c r="P14" s="9"/>
      <c r="Q14" s="9"/>
      <c r="R14" s="11"/>
      <c r="S14" s="9"/>
      <c r="T14" s="9"/>
      <c r="U14" s="9"/>
      <c r="Y14" s="9"/>
      <c r="Z14" s="12"/>
    </row>
    <row r="15" spans="1:26" x14ac:dyDescent="0.3">
      <c r="A15" s="30" t="s">
        <v>121</v>
      </c>
      <c r="B15" s="9"/>
      <c r="C15">
        <v>-970.14002100000005</v>
      </c>
      <c r="D15" s="20"/>
      <c r="E15">
        <v>-76.696949000000004</v>
      </c>
      <c r="F15" s="11"/>
      <c r="G15">
        <v>-970.43819800000006</v>
      </c>
      <c r="H15" s="42"/>
      <c r="I15">
        <v>-76.436966999999996</v>
      </c>
      <c r="J15" s="71"/>
      <c r="K15" s="18">
        <f>(G15+I15)-(C15+E15)</f>
        <v>-3.819500000008702E-2</v>
      </c>
      <c r="L15" s="20">
        <f t="shared" ref="L15" si="5">K15*27</f>
        <v>-1.0312650000023496</v>
      </c>
      <c r="M15" s="51">
        <f>$K15*2600</f>
        <v>-99.307000000226253</v>
      </c>
      <c r="N15" s="18">
        <f>$K15*630</f>
        <v>-24.062850000054823</v>
      </c>
      <c r="P15" s="9"/>
      <c r="Q15" s="9"/>
      <c r="R15" s="11"/>
      <c r="S15" s="9"/>
      <c r="T15" s="9"/>
      <c r="U15" s="9"/>
      <c r="Y15" s="9"/>
      <c r="Z15" s="12"/>
    </row>
    <row r="16" spans="1:26" x14ac:dyDescent="0.3">
      <c r="A16" s="30"/>
      <c r="B16" s="9"/>
      <c r="C16" s="20"/>
      <c r="D16" s="20"/>
      <c r="E16" s="20"/>
      <c r="F16" s="20"/>
      <c r="G16" s="31"/>
      <c r="H16" s="20"/>
      <c r="I16" s="20"/>
      <c r="J16" s="72"/>
      <c r="K16" s="18"/>
      <c r="L16" s="20"/>
      <c r="M16" s="51"/>
      <c r="N16" s="18"/>
      <c r="P16" s="9"/>
      <c r="Q16" s="9"/>
      <c r="R16" s="9"/>
      <c r="S16" s="12"/>
      <c r="T16" s="9"/>
      <c r="U16" s="9"/>
      <c r="Y16" s="9"/>
      <c r="Z16" s="9"/>
    </row>
    <row r="17" spans="1:26" x14ac:dyDescent="0.3">
      <c r="A17" s="30"/>
      <c r="B17" s="9"/>
      <c r="C17" s="20"/>
      <c r="D17" s="20"/>
      <c r="E17" s="20"/>
      <c r="F17" s="20"/>
      <c r="G17" s="20"/>
      <c r="H17" s="20"/>
      <c r="I17" s="20"/>
      <c r="J17" s="72"/>
      <c r="K17" s="18"/>
      <c r="L17" s="20"/>
      <c r="M17" s="51"/>
      <c r="N17" s="18"/>
      <c r="P17" s="9"/>
      <c r="Q17" s="9"/>
      <c r="R17" s="9"/>
      <c r="S17" s="9"/>
      <c r="T17" s="9"/>
      <c r="U17" s="9"/>
      <c r="Y17" s="9"/>
      <c r="Z17" s="9"/>
    </row>
    <row r="18" spans="1:26" x14ac:dyDescent="0.3">
      <c r="A18" s="30" t="s">
        <v>63</v>
      </c>
      <c r="B18" s="9"/>
      <c r="C18" s="20">
        <v>-969.84351800000002</v>
      </c>
      <c r="D18" s="20"/>
      <c r="E18" s="20">
        <v>-76.675348</v>
      </c>
      <c r="F18" s="20"/>
      <c r="G18" s="31">
        <v>-970.15570300000002</v>
      </c>
      <c r="H18" s="20"/>
      <c r="I18" s="20">
        <v>-76.411471000000006</v>
      </c>
      <c r="J18" s="72"/>
      <c r="K18" s="18">
        <f>(G18+I18)-(C18+E18)</f>
        <v>-4.8307999999906315E-2</v>
      </c>
      <c r="L18" s="20">
        <f>K18*27</f>
        <v>-1.3043159999974705</v>
      </c>
      <c r="M18" s="51">
        <f>$K18*2600</f>
        <v>-125.60079999975642</v>
      </c>
      <c r="N18" s="18">
        <f>$K18*630</f>
        <v>-30.434039999940978</v>
      </c>
      <c r="O18" s="1" t="s">
        <v>76</v>
      </c>
      <c r="P18" s="9" t="s">
        <v>394</v>
      </c>
      <c r="Q18" s="9"/>
      <c r="R18" s="9"/>
      <c r="S18" s="9"/>
      <c r="T18" s="9"/>
      <c r="U18" s="9"/>
      <c r="Y18" s="9"/>
      <c r="Z18" s="9"/>
    </row>
    <row r="19" spans="1:26" x14ac:dyDescent="0.3">
      <c r="A19" s="30" t="s">
        <v>120</v>
      </c>
      <c r="B19" s="9"/>
      <c r="C19">
        <v>-967.99655199999995</v>
      </c>
      <c r="D19" s="20"/>
      <c r="E19">
        <v>-76.532949000000002</v>
      </c>
      <c r="F19" s="11"/>
      <c r="G19" s="14">
        <v>-968.31177600000001</v>
      </c>
      <c r="H19" s="42"/>
      <c r="I19">
        <v>-76.276370999999997</v>
      </c>
      <c r="J19" s="71"/>
      <c r="K19" s="18">
        <f t="shared" ref="K19:K20" si="6">(G19+I19)-(C19+E19)</f>
        <v>-5.8645999999953347E-2</v>
      </c>
      <c r="L19" s="20">
        <f t="shared" ref="L19:L20" si="7">K19*27</f>
        <v>-1.5834419999987404</v>
      </c>
      <c r="M19" s="51">
        <f t="shared" ref="M19:M20" si="8">$K19*2600</f>
        <v>-152.4795999998787</v>
      </c>
      <c r="N19" s="18">
        <f t="shared" ref="N19:N20" si="9">$K19*630</f>
        <v>-36.946979999970608</v>
      </c>
      <c r="P19" s="9"/>
      <c r="Q19" s="9"/>
      <c r="R19" s="11"/>
      <c r="S19" s="9"/>
      <c r="T19" s="9"/>
      <c r="U19" s="9"/>
      <c r="Y19" s="9"/>
      <c r="Z19" s="12"/>
    </row>
    <row r="20" spans="1:26" ht="15" thickBot="1" x14ac:dyDescent="0.35">
      <c r="A20" s="32" t="s">
        <v>121</v>
      </c>
      <c r="B20" s="33"/>
      <c r="C20">
        <v>-970.14002100000005</v>
      </c>
      <c r="D20" s="34"/>
      <c r="E20">
        <v>-76.696949000000004</v>
      </c>
      <c r="F20" s="77"/>
      <c r="G20">
        <v>-970.45077200000003</v>
      </c>
      <c r="H20" s="79"/>
      <c r="I20">
        <v>-76.436966999999996</v>
      </c>
      <c r="J20" s="80"/>
      <c r="K20" s="18">
        <f t="shared" si="6"/>
        <v>-5.0768999999945663E-2</v>
      </c>
      <c r="L20" s="20">
        <f t="shared" si="7"/>
        <v>-1.3707629999985329</v>
      </c>
      <c r="M20" s="51">
        <f t="shared" si="8"/>
        <v>-131.99939999985872</v>
      </c>
      <c r="N20" s="18">
        <f t="shared" si="9"/>
        <v>-31.984469999965768</v>
      </c>
      <c r="P20" s="9"/>
      <c r="Q20" s="9"/>
      <c r="R20" s="11"/>
      <c r="S20" s="9"/>
      <c r="T20" s="9"/>
      <c r="U20" s="9"/>
      <c r="Y20" s="9"/>
      <c r="Z20" s="12"/>
    </row>
    <row r="22" spans="1:26" x14ac:dyDescent="0.3">
      <c r="A22" s="9"/>
      <c r="B22" s="9"/>
      <c r="C22" s="20"/>
      <c r="D22" s="20"/>
      <c r="E22" s="20"/>
      <c r="F22" s="20"/>
      <c r="G22" s="31"/>
      <c r="H22" s="20"/>
      <c r="I22" s="20" t="s">
        <v>400</v>
      </c>
      <c r="J22" s="72"/>
      <c r="K22" s="20"/>
      <c r="L22" s="20"/>
      <c r="M22" s="51"/>
      <c r="N22" s="20"/>
      <c r="P22" s="9"/>
      <c r="Q22" s="9"/>
      <c r="R22" s="9"/>
      <c r="S22" s="9"/>
      <c r="T22" s="9"/>
      <c r="U22" s="9"/>
      <c r="Y22" s="9"/>
      <c r="Z22" s="9"/>
    </row>
    <row r="23" spans="1:26" x14ac:dyDescent="0.3">
      <c r="C23" s="14"/>
      <c r="D23" s="14"/>
      <c r="E23" s="14"/>
      <c r="F23" s="14"/>
      <c r="G23" s="17"/>
      <c r="H23" s="14"/>
      <c r="I23" s="14"/>
      <c r="J23" s="74"/>
      <c r="K23" s="20"/>
      <c r="L23" s="20"/>
      <c r="M23" s="51"/>
      <c r="N23" s="20"/>
      <c r="P23" s="9"/>
      <c r="Q23" s="9"/>
      <c r="R23" s="11"/>
      <c r="S23" s="9"/>
      <c r="T23" s="9"/>
      <c r="U23" s="9"/>
      <c r="Y23" s="9"/>
      <c r="Z23" s="12"/>
    </row>
    <row r="24" spans="1:26" ht="15" thickBot="1" x14ac:dyDescent="0.35">
      <c r="B24" t="s">
        <v>403</v>
      </c>
      <c r="C24" s="14"/>
      <c r="D24" s="14"/>
      <c r="E24" s="14"/>
      <c r="F24" s="14"/>
      <c r="G24" s="14"/>
      <c r="H24" s="14"/>
      <c r="I24" s="14"/>
      <c r="J24" s="74"/>
      <c r="K24" s="14" t="s">
        <v>393</v>
      </c>
      <c r="L24" s="20"/>
      <c r="M24" s="51"/>
      <c r="N24" s="20"/>
      <c r="P24" s="9"/>
      <c r="Q24" s="9"/>
      <c r="R24" s="9"/>
      <c r="S24" s="12"/>
      <c r="T24" s="9"/>
      <c r="U24" s="9"/>
      <c r="Y24" s="9"/>
      <c r="Z24" s="9"/>
    </row>
    <row r="25" spans="1:26" ht="15" thickBot="1" x14ac:dyDescent="0.35">
      <c r="A25" s="2" t="s">
        <v>48</v>
      </c>
      <c r="B25" s="3"/>
      <c r="C25" s="21"/>
      <c r="D25" s="21"/>
      <c r="E25" s="21"/>
      <c r="F25" s="21"/>
      <c r="G25" s="21"/>
      <c r="H25" s="21"/>
      <c r="I25" s="21"/>
      <c r="J25" s="75"/>
      <c r="K25" s="22"/>
      <c r="L25" s="20"/>
      <c r="M25" s="51"/>
      <c r="N25" s="20"/>
      <c r="P25" s="9"/>
      <c r="Q25" s="9"/>
      <c r="R25" s="9"/>
      <c r="S25" s="9"/>
      <c r="T25" s="9"/>
      <c r="U25" s="9"/>
      <c r="Y25" s="9"/>
      <c r="Z25" s="9"/>
    </row>
    <row r="26" spans="1:26" ht="15" thickBot="1" x14ac:dyDescent="0.35">
      <c r="A26" s="2" t="s">
        <v>51</v>
      </c>
      <c r="B26" s="3"/>
      <c r="C26" s="21" t="s">
        <v>26</v>
      </c>
      <c r="D26" s="21" t="s">
        <v>27</v>
      </c>
      <c r="E26" s="21" t="s">
        <v>28</v>
      </c>
      <c r="F26" s="23" t="s">
        <v>29</v>
      </c>
      <c r="G26" s="21" t="s">
        <v>30</v>
      </c>
      <c r="H26" s="21" t="s">
        <v>27</v>
      </c>
      <c r="I26" s="21" t="s">
        <v>31</v>
      </c>
      <c r="J26" s="75"/>
      <c r="K26" s="24" t="s">
        <v>50</v>
      </c>
      <c r="L26" s="20"/>
      <c r="M26" s="51"/>
      <c r="N26" s="20"/>
      <c r="O26" s="1" t="s">
        <v>87</v>
      </c>
      <c r="P26" s="9"/>
      <c r="Q26" s="9"/>
      <c r="R26" s="9"/>
      <c r="S26" s="12"/>
      <c r="T26" s="9"/>
      <c r="U26" s="9"/>
      <c r="Y26" s="9"/>
      <c r="Z26" s="9"/>
    </row>
    <row r="27" spans="1:26" x14ac:dyDescent="0.3">
      <c r="A27" s="36"/>
      <c r="B27" s="37"/>
      <c r="C27" s="38"/>
      <c r="D27" s="38"/>
      <c r="E27" s="38"/>
      <c r="F27" s="39"/>
      <c r="G27" s="40"/>
      <c r="H27" s="38"/>
      <c r="I27" s="38"/>
      <c r="J27" s="76"/>
      <c r="K27" s="24"/>
      <c r="L27" s="20"/>
      <c r="M27" s="51"/>
      <c r="N27" s="20"/>
      <c r="O27" s="1" t="s">
        <v>98</v>
      </c>
      <c r="P27" s="9"/>
      <c r="Q27" s="9"/>
      <c r="R27" s="9"/>
      <c r="S27" s="12"/>
      <c r="T27" s="9"/>
      <c r="U27" s="9"/>
      <c r="Y27" s="9"/>
      <c r="Z27" s="9"/>
    </row>
    <row r="28" spans="1:26" x14ac:dyDescent="0.3">
      <c r="A28" s="30" t="s">
        <v>83</v>
      </c>
      <c r="B28" s="9"/>
      <c r="C28" s="20">
        <v>-969.86327800000004</v>
      </c>
      <c r="D28" s="20"/>
      <c r="E28" s="20">
        <v>-76.798567000000006</v>
      </c>
      <c r="F28" s="26"/>
      <c r="G28" s="41">
        <v>-969.86327800000004</v>
      </c>
      <c r="H28" s="41"/>
      <c r="I28" s="41">
        <v>-76.798567000000006</v>
      </c>
      <c r="J28" s="72"/>
      <c r="K28" s="18">
        <f>(G28+I28)-(C28+E28)</f>
        <v>0</v>
      </c>
      <c r="L28" s="20">
        <f t="shared" si="0"/>
        <v>0</v>
      </c>
      <c r="M28" s="51">
        <f>$K28*2600</f>
        <v>0</v>
      </c>
      <c r="N28" s="20">
        <f>$K28*630</f>
        <v>0</v>
      </c>
      <c r="P28" s="9"/>
      <c r="Q28" s="9"/>
      <c r="R28" s="9"/>
      <c r="S28" s="12"/>
      <c r="T28" s="9"/>
      <c r="U28" s="9"/>
      <c r="Y28" s="9"/>
      <c r="Z28" s="9"/>
    </row>
    <row r="29" spans="1:26" x14ac:dyDescent="0.3">
      <c r="A29" s="30" t="s">
        <v>120</v>
      </c>
      <c r="B29" s="130" t="s">
        <v>395</v>
      </c>
      <c r="C29" s="131">
        <v>-968.01475300000004</v>
      </c>
      <c r="D29" s="131" t="s">
        <v>399</v>
      </c>
      <c r="E29" s="20"/>
      <c r="F29" s="11"/>
      <c r="G29" s="41"/>
      <c r="H29" s="42"/>
      <c r="I29" s="41"/>
      <c r="J29" s="71"/>
      <c r="K29" s="18"/>
      <c r="L29" s="20"/>
      <c r="M29" s="51"/>
      <c r="N29" s="20"/>
      <c r="P29" s="9"/>
      <c r="Q29" s="9"/>
      <c r="R29" s="11"/>
      <c r="S29" s="9"/>
      <c r="T29" s="9"/>
      <c r="U29" s="9"/>
      <c r="Y29" s="9"/>
      <c r="Z29" s="12"/>
    </row>
    <row r="30" spans="1:26" x14ac:dyDescent="0.3">
      <c r="A30" s="30" t="s">
        <v>121</v>
      </c>
      <c r="B30" s="9"/>
      <c r="C30">
        <v>-970.15772200000004</v>
      </c>
      <c r="D30" s="20"/>
      <c r="E30">
        <v>-76.824034999999995</v>
      </c>
      <c r="F30" s="11"/>
      <c r="G30" s="41"/>
      <c r="H30" s="42"/>
      <c r="I30">
        <v>-76.444311999999996</v>
      </c>
      <c r="J30" s="71"/>
      <c r="K30" s="18"/>
      <c r="L30" s="20"/>
      <c r="M30" s="51"/>
      <c r="N30" s="20"/>
      <c r="P30" s="9"/>
      <c r="Q30" s="9"/>
      <c r="R30" s="11"/>
      <c r="S30" s="9"/>
      <c r="T30" s="9"/>
      <c r="U30" s="9"/>
      <c r="Y30" s="9"/>
      <c r="Z30" s="12"/>
    </row>
    <row r="31" spans="1:26" x14ac:dyDescent="0.3">
      <c r="A31" s="30"/>
      <c r="B31" s="9"/>
      <c r="C31" s="20"/>
      <c r="D31" s="20"/>
      <c r="E31" s="20"/>
      <c r="F31" s="26"/>
      <c r="G31" s="41"/>
      <c r="H31" s="41"/>
      <c r="I31" s="41"/>
      <c r="J31" s="72"/>
      <c r="K31" s="18"/>
      <c r="L31" s="20"/>
      <c r="M31" s="51"/>
      <c r="N31" s="20"/>
      <c r="P31" s="9"/>
      <c r="Q31" s="9"/>
      <c r="R31" s="9"/>
      <c r="S31" s="12"/>
      <c r="T31" s="9"/>
      <c r="U31" s="9"/>
      <c r="Y31" s="9"/>
      <c r="Z31" s="9"/>
    </row>
    <row r="32" spans="1:26" x14ac:dyDescent="0.3">
      <c r="A32" s="30"/>
      <c r="B32" s="9"/>
      <c r="C32" s="20"/>
      <c r="D32" s="20"/>
      <c r="E32" s="20"/>
      <c r="F32" s="26"/>
      <c r="G32" s="20"/>
      <c r="H32" s="20"/>
      <c r="I32" s="20"/>
      <c r="J32" s="72"/>
      <c r="K32" s="27"/>
      <c r="L32" s="20"/>
      <c r="M32" s="51"/>
      <c r="N32" s="20"/>
      <c r="P32" s="9"/>
      <c r="Q32" s="9"/>
      <c r="R32" s="9"/>
      <c r="S32" s="12"/>
      <c r="T32" s="9"/>
      <c r="U32" s="9"/>
      <c r="Y32" s="9"/>
      <c r="Z32" s="9"/>
    </row>
    <row r="33" spans="1:26" x14ac:dyDescent="0.3">
      <c r="A33" s="30" t="s">
        <v>42</v>
      </c>
      <c r="B33" s="9"/>
      <c r="C33" s="20">
        <v>-969.86327800000004</v>
      </c>
      <c r="D33" s="20"/>
      <c r="E33" s="20">
        <v>-76.798567000000006</v>
      </c>
      <c r="F33" s="20"/>
      <c r="G33" s="31">
        <v>-970.24148500000001</v>
      </c>
      <c r="H33" s="31"/>
      <c r="I33" s="133">
        <v>-76.418996000000007</v>
      </c>
      <c r="J33" s="72"/>
      <c r="K33" s="18">
        <f>(G33+I33)-(C33+E33)</f>
        <v>1.3639999999668362E-3</v>
      </c>
      <c r="L33" s="20">
        <f t="shared" si="0"/>
        <v>3.6827999999104577E-2</v>
      </c>
      <c r="M33" s="51">
        <f>$K33*2600</f>
        <v>3.5463999999137741</v>
      </c>
      <c r="N33" s="20">
        <f>$K33*630</f>
        <v>0.8593199999791068</v>
      </c>
      <c r="P33" s="9" t="s">
        <v>77</v>
      </c>
      <c r="S33" s="14">
        <f>I33+G33</f>
        <v>-1046.6604810000001</v>
      </c>
      <c r="T33" s="14">
        <f>E33+C33</f>
        <v>-1046.6618450000001</v>
      </c>
      <c r="U33" s="14">
        <f>S33-T33</f>
        <v>1.3639999999668362E-3</v>
      </c>
    </row>
    <row r="34" spans="1:26" x14ac:dyDescent="0.3">
      <c r="A34" s="30" t="s">
        <v>120</v>
      </c>
      <c r="B34" s="9"/>
      <c r="C34" s="131">
        <v>-968.01475300000004</v>
      </c>
      <c r="D34" s="20"/>
      <c r="E34" s="131">
        <v>-76.660998000000006</v>
      </c>
      <c r="F34" s="11"/>
      <c r="G34" s="131">
        <v>-968.409761</v>
      </c>
      <c r="H34" s="130" t="s">
        <v>398</v>
      </c>
      <c r="I34" s="133">
        <v>-76.284030999999999</v>
      </c>
      <c r="J34" s="71"/>
      <c r="K34" s="18">
        <f t="shared" ref="K34:K35" si="10">(G34+I34)-(C34+E34)</f>
        <v>-1.8041000000039276E-2</v>
      </c>
      <c r="L34" s="20">
        <f t="shared" ref="L34:L35" si="11">K34*27</f>
        <v>-0.48710700000106044</v>
      </c>
      <c r="M34" s="51">
        <f t="shared" ref="M34:M35" si="12">$K34*2600</f>
        <v>-46.906600000102117</v>
      </c>
      <c r="N34" s="20">
        <f t="shared" ref="N34:N35" si="13">$K34*630</f>
        <v>-11.365830000024744</v>
      </c>
      <c r="P34" s="9" t="s">
        <v>396</v>
      </c>
      <c r="Q34" s="9"/>
      <c r="R34" s="11"/>
      <c r="S34" s="9"/>
      <c r="T34" s="9"/>
      <c r="U34" s="9"/>
      <c r="Y34" s="9"/>
      <c r="Z34" s="12"/>
    </row>
    <row r="35" spans="1:26" x14ac:dyDescent="0.3">
      <c r="A35" s="30" t="s">
        <v>121</v>
      </c>
      <c r="B35" s="9"/>
      <c r="C35">
        <v>-970.15772200000004</v>
      </c>
      <c r="D35" s="20"/>
      <c r="E35">
        <v>-76.824034999999995</v>
      </c>
      <c r="F35" s="11"/>
      <c r="G35" s="15">
        <v>-970.53783399999998</v>
      </c>
      <c r="H35" s="42"/>
      <c r="I35" s="134">
        <v>-76.444311999999996</v>
      </c>
      <c r="J35" s="71"/>
      <c r="K35" s="18">
        <f t="shared" si="10"/>
        <v>-3.8900000004105095E-4</v>
      </c>
      <c r="L35" s="20">
        <f t="shared" si="11"/>
        <v>-1.0503000001108376E-2</v>
      </c>
      <c r="M35" s="51">
        <f t="shared" si="12"/>
        <v>-1.0114000001067325</v>
      </c>
      <c r="N35" s="20">
        <f t="shared" si="13"/>
        <v>-0.2450700000258621</v>
      </c>
      <c r="P35" s="9" t="s">
        <v>187</v>
      </c>
      <c r="Q35" s="9"/>
      <c r="R35" s="11"/>
      <c r="S35" s="9"/>
      <c r="T35" s="9"/>
      <c r="U35" s="9"/>
      <c r="Y35" s="9"/>
      <c r="Z35" s="12"/>
    </row>
    <row r="36" spans="1:26" x14ac:dyDescent="0.3">
      <c r="A36" s="30"/>
      <c r="B36" s="9"/>
      <c r="C36" s="20"/>
      <c r="D36" s="20"/>
      <c r="E36" s="20"/>
      <c r="F36" s="20"/>
      <c r="G36" s="20"/>
      <c r="H36" s="20"/>
      <c r="I36" s="133"/>
      <c r="J36" s="72"/>
      <c r="K36" s="18"/>
      <c r="L36" s="20"/>
      <c r="M36" s="51"/>
      <c r="N36" s="20"/>
    </row>
    <row r="37" spans="1:26" x14ac:dyDescent="0.3">
      <c r="A37" s="30" t="s">
        <v>43</v>
      </c>
      <c r="B37" s="9"/>
      <c r="C37" s="20">
        <v>-969.86327800000004</v>
      </c>
      <c r="D37" s="20"/>
      <c r="E37" s="20">
        <v>-76.798567000000006</v>
      </c>
      <c r="F37" s="20"/>
      <c r="G37" s="31">
        <v>-970.22698300000002</v>
      </c>
      <c r="H37" s="20"/>
      <c r="I37" s="133">
        <v>-76.418996000000007</v>
      </c>
      <c r="J37" s="72"/>
      <c r="K37" s="18">
        <f>(G37+I37)-(C37+E37)</f>
        <v>1.5865999999959968E-2</v>
      </c>
      <c r="L37" s="20">
        <f t="shared" si="0"/>
        <v>0.42838199999891913</v>
      </c>
      <c r="M37" s="51">
        <f>$K37*2600</f>
        <v>41.251599999895916</v>
      </c>
      <c r="N37" s="20">
        <f>$K37*630</f>
        <v>9.9955799999747796</v>
      </c>
      <c r="O37" s="1" t="s">
        <v>96</v>
      </c>
    </row>
    <row r="38" spans="1:26" x14ac:dyDescent="0.3">
      <c r="A38" s="30" t="s">
        <v>120</v>
      </c>
      <c r="B38" s="9"/>
      <c r="C38" s="131">
        <v>-968.01475300000004</v>
      </c>
      <c r="D38" s="20"/>
      <c r="E38" s="131">
        <v>-76.660998000000006</v>
      </c>
      <c r="F38" s="11"/>
      <c r="G38" s="131">
        <v>-968.37296200000003</v>
      </c>
      <c r="H38" s="132" t="s">
        <v>397</v>
      </c>
      <c r="I38" s="133">
        <v>-76.284030999999999</v>
      </c>
      <c r="J38" s="71"/>
      <c r="K38" s="18">
        <f t="shared" ref="K38:K39" si="14">(G38+I38)-(C38+E38)</f>
        <v>1.8757999999934327E-2</v>
      </c>
      <c r="L38" s="20">
        <f t="shared" ref="L38:L39" si="15">K38*27</f>
        <v>0.50646599999822683</v>
      </c>
      <c r="M38" s="51">
        <f t="shared" ref="M38:M39" si="16">$K38*2600</f>
        <v>48.770799999829251</v>
      </c>
      <c r="N38" s="20">
        <f t="shared" ref="N38:N39" si="17">$K38*630</f>
        <v>11.817539999958626</v>
      </c>
      <c r="P38" s="9"/>
      <c r="Q38" s="9"/>
      <c r="R38" s="11"/>
      <c r="S38" s="9"/>
      <c r="T38" s="9"/>
      <c r="U38" s="9"/>
      <c r="Y38" s="9"/>
      <c r="Z38" s="12"/>
    </row>
    <row r="39" spans="1:26" x14ac:dyDescent="0.3">
      <c r="A39" s="30" t="s">
        <v>121</v>
      </c>
      <c r="B39" s="9"/>
      <c r="C39">
        <v>-970.15772200000004</v>
      </c>
      <c r="D39" s="20"/>
      <c r="E39">
        <v>-76.824034999999995</v>
      </c>
      <c r="F39" s="11"/>
      <c r="G39">
        <v>-970.52695700000004</v>
      </c>
      <c r="H39" s="42"/>
      <c r="I39" s="134">
        <v>-76.444311999999996</v>
      </c>
      <c r="J39" s="71"/>
      <c r="K39" s="18">
        <f t="shared" si="14"/>
        <v>1.0487999999895692E-2</v>
      </c>
      <c r="L39" s="20">
        <f t="shared" si="15"/>
        <v>0.28317599999718368</v>
      </c>
      <c r="M39" s="51">
        <f t="shared" si="16"/>
        <v>27.268799999728799</v>
      </c>
      <c r="N39" s="20">
        <f t="shared" si="17"/>
        <v>6.6074399999342859</v>
      </c>
      <c r="P39" s="9"/>
      <c r="Q39" s="9"/>
      <c r="R39" s="11"/>
      <c r="S39" s="9"/>
      <c r="T39" s="9"/>
      <c r="U39" s="9"/>
      <c r="Y39" s="9"/>
      <c r="Z39" s="12"/>
    </row>
    <row r="40" spans="1:26" x14ac:dyDescent="0.3">
      <c r="A40" s="30"/>
      <c r="B40" s="9"/>
      <c r="C40" s="20"/>
      <c r="D40" s="20"/>
      <c r="E40" s="20"/>
      <c r="F40" s="20"/>
      <c r="G40" s="20"/>
      <c r="H40" s="20"/>
      <c r="I40" s="133"/>
      <c r="J40" s="72"/>
      <c r="K40" s="18"/>
      <c r="L40" s="20"/>
      <c r="M40" s="51"/>
      <c r="N40" s="20"/>
    </row>
    <row r="41" spans="1:26" x14ac:dyDescent="0.3">
      <c r="A41" s="30" t="s">
        <v>63</v>
      </c>
      <c r="B41" s="9"/>
      <c r="C41" s="20">
        <v>-969.86327800000004</v>
      </c>
      <c r="D41" s="20"/>
      <c r="E41" s="20">
        <v>-76.798567000000006</v>
      </c>
      <c r="F41" s="20"/>
      <c r="G41" s="81">
        <v>-970.24210700000003</v>
      </c>
      <c r="H41" s="20"/>
      <c r="I41" s="133">
        <v>-76.418996000000007</v>
      </c>
      <c r="J41" s="72"/>
      <c r="K41" s="18">
        <f>(G41+I41)-(C41+E41)</f>
        <v>7.4199999994561949E-4</v>
      </c>
      <c r="L41" s="20">
        <f t="shared" si="0"/>
        <v>2.0033999998531726E-2</v>
      </c>
      <c r="M41" s="51">
        <f>$K41*2600</f>
        <v>1.9291999998586107</v>
      </c>
      <c r="N41" s="20">
        <f>$K41*630</f>
        <v>0.46745999996574028</v>
      </c>
      <c r="O41" s="1" t="s">
        <v>99</v>
      </c>
    </row>
    <row r="42" spans="1:26" x14ac:dyDescent="0.3">
      <c r="A42" s="30" t="s">
        <v>120</v>
      </c>
      <c r="B42" s="9"/>
      <c r="C42" s="131">
        <v>-968.01475300000004</v>
      </c>
      <c r="D42" s="20"/>
      <c r="E42" s="131">
        <v>-76.660998000000006</v>
      </c>
      <c r="F42" s="11"/>
      <c r="G42" s="131">
        <v>-968.40957300000002</v>
      </c>
      <c r="H42" s="42"/>
      <c r="I42" s="133">
        <v>-76.284030999999999</v>
      </c>
      <c r="J42" s="71"/>
      <c r="K42" s="18">
        <f t="shared" ref="K42:K43" si="18">(G42+I42)-(C42+E42)</f>
        <v>-1.7853000000059183E-2</v>
      </c>
      <c r="L42" s="20">
        <f t="shared" ref="L42:L43" si="19">K42*27</f>
        <v>-0.48203100000159793</v>
      </c>
      <c r="M42" s="51">
        <f t="shared" ref="M42:M43" si="20">$K42*2600</f>
        <v>-46.417800000153875</v>
      </c>
      <c r="N42" s="20">
        <f t="shared" ref="N42:N43" si="21">$K42*630</f>
        <v>-11.247390000037285</v>
      </c>
      <c r="P42" s="9"/>
      <c r="Q42" s="9"/>
      <c r="R42" s="11"/>
      <c r="S42" s="9"/>
      <c r="T42" s="9"/>
      <c r="U42" s="9"/>
      <c r="Y42" s="9"/>
      <c r="Z42" s="12"/>
    </row>
    <row r="43" spans="1:26" ht="15" thickBot="1" x14ac:dyDescent="0.35">
      <c r="A43" s="32" t="s">
        <v>121</v>
      </c>
      <c r="B43" s="33"/>
      <c r="C43">
        <v>-970.15772200000004</v>
      </c>
      <c r="D43" s="34"/>
      <c r="E43">
        <v>-76.824034999999995</v>
      </c>
      <c r="F43" s="77"/>
      <c r="G43">
        <v>-970.53814499999999</v>
      </c>
      <c r="H43" s="79"/>
      <c r="I43" s="134">
        <v>-76.444311999999996</v>
      </c>
      <c r="J43" s="80"/>
      <c r="K43" s="18">
        <f t="shared" si="18"/>
        <v>-7.000000000516593E-4</v>
      </c>
      <c r="L43" s="20">
        <f t="shared" si="19"/>
        <v>-1.8900000001394801E-2</v>
      </c>
      <c r="M43" s="51">
        <f t="shared" si="20"/>
        <v>-1.8200000001343142</v>
      </c>
      <c r="N43" s="20">
        <f t="shared" si="21"/>
        <v>-0.44100000003254536</v>
      </c>
      <c r="P43" s="9" t="s">
        <v>211</v>
      </c>
      <c r="Q43" s="9"/>
      <c r="R43" s="11"/>
      <c r="S43" s="9"/>
      <c r="T43" s="9"/>
      <c r="U43" s="9"/>
      <c r="Y43" s="9"/>
      <c r="Z43" s="12"/>
    </row>
    <row r="44" spans="1:26" x14ac:dyDescent="0.3">
      <c r="G44">
        <v>-970.53577099999995</v>
      </c>
      <c r="O44" s="1" t="s">
        <v>110</v>
      </c>
    </row>
    <row r="45" spans="1:26" x14ac:dyDescent="0.3">
      <c r="C45" s="15"/>
      <c r="G45" s="25">
        <v>-970.15570000000002</v>
      </c>
      <c r="I45" t="s">
        <v>78</v>
      </c>
      <c r="O45" s="1" t="s">
        <v>111</v>
      </c>
    </row>
    <row r="48" spans="1:26" x14ac:dyDescent="0.3">
      <c r="E48" t="s">
        <v>88</v>
      </c>
    </row>
    <row r="50" spans="1:15" ht="15" thickBot="1" x14ac:dyDescent="0.35">
      <c r="B50" t="s">
        <v>106</v>
      </c>
      <c r="C50" t="s">
        <v>107</v>
      </c>
      <c r="K50" t="s">
        <v>102</v>
      </c>
    </row>
    <row r="51" spans="1:15" ht="15" thickBot="1" x14ac:dyDescent="0.35">
      <c r="B51" s="58" t="s">
        <v>106</v>
      </c>
      <c r="C51" s="21" t="s">
        <v>26</v>
      </c>
      <c r="D51" s="21" t="s">
        <v>27</v>
      </c>
      <c r="E51" s="21" t="s">
        <v>28</v>
      </c>
      <c r="F51" s="23" t="s">
        <v>29</v>
      </c>
      <c r="G51" s="21" t="s">
        <v>30</v>
      </c>
      <c r="H51" s="21" t="s">
        <v>27</v>
      </c>
      <c r="I51" s="21" t="s">
        <v>31</v>
      </c>
      <c r="J51" s="70"/>
      <c r="K51" s="3" t="s">
        <v>103</v>
      </c>
      <c r="L51" s="3" t="s">
        <v>93</v>
      </c>
      <c r="M51" s="59" t="s">
        <v>104</v>
      </c>
      <c r="N51" s="7" t="s">
        <v>105</v>
      </c>
    </row>
    <row r="52" spans="1:15" x14ac:dyDescent="0.3">
      <c r="A52" t="s">
        <v>108</v>
      </c>
      <c r="B52" s="55" t="s">
        <v>42</v>
      </c>
      <c r="C52" s="38">
        <v>-969.84351800000002</v>
      </c>
      <c r="D52" s="38"/>
      <c r="E52" s="38">
        <v>-76.675348</v>
      </c>
      <c r="F52" s="38"/>
      <c r="G52" s="52">
        <v>-970.15640699999994</v>
      </c>
      <c r="H52" s="38"/>
      <c r="I52" s="38">
        <v>-76.411471000000006</v>
      </c>
      <c r="J52" s="76"/>
      <c r="K52" s="38">
        <f t="shared" ref="K52:K57" si="22">(I52+G52)-(E52+C52)</f>
        <v>-4.9011999999720501E-2</v>
      </c>
      <c r="L52" s="38">
        <f t="shared" ref="L52:L57" si="23">K52*27</f>
        <v>-1.3233239999924535</v>
      </c>
      <c r="M52" s="53">
        <f t="shared" ref="M52:M57" si="24">$K52*2600</f>
        <v>-127.4311999992733</v>
      </c>
      <c r="N52" s="46">
        <f t="shared" ref="N52:N57" si="25">$K52*630</f>
        <v>-30.877559999823916</v>
      </c>
      <c r="O52" s="62"/>
    </row>
    <row r="53" spans="1:15" ht="15" thickBot="1" x14ac:dyDescent="0.35">
      <c r="A53" t="s">
        <v>109</v>
      </c>
      <c r="B53" s="57"/>
      <c r="C53" s="34">
        <v>-969.86327800000004</v>
      </c>
      <c r="D53" s="34"/>
      <c r="E53" s="34">
        <v>-76.798567000000006</v>
      </c>
      <c r="F53" s="34"/>
      <c r="G53" s="35">
        <v>-970.24148500000001</v>
      </c>
      <c r="H53" s="34"/>
      <c r="I53" s="34">
        <v>-76.418996000000007</v>
      </c>
      <c r="J53" s="73"/>
      <c r="K53" s="34">
        <f t="shared" si="22"/>
        <v>1.3639999999668362E-3</v>
      </c>
      <c r="L53" s="34">
        <f t="shared" si="23"/>
        <v>3.6827999999104577E-2</v>
      </c>
      <c r="M53" s="54">
        <f t="shared" si="24"/>
        <v>3.5463999999137741</v>
      </c>
      <c r="N53" s="48">
        <f t="shared" si="25"/>
        <v>0.8593199999791068</v>
      </c>
      <c r="O53" s="64"/>
    </row>
    <row r="54" spans="1:15" x14ac:dyDescent="0.3">
      <c r="B54" s="55" t="s">
        <v>43</v>
      </c>
      <c r="C54" s="38">
        <v>-969.84351800000002</v>
      </c>
      <c r="D54" s="38"/>
      <c r="E54" s="38">
        <v>-76.675348</v>
      </c>
      <c r="F54" s="38"/>
      <c r="G54" s="52">
        <v>-970.14410199999998</v>
      </c>
      <c r="H54" s="38"/>
      <c r="I54" s="38">
        <v>-76.411471000000006</v>
      </c>
      <c r="J54" s="76"/>
      <c r="K54" s="38">
        <f t="shared" si="22"/>
        <v>-3.6706999999978507E-2</v>
      </c>
      <c r="L54" s="38">
        <f t="shared" si="23"/>
        <v>-0.99108899999941968</v>
      </c>
      <c r="M54" s="53">
        <f t="shared" si="24"/>
        <v>-95.438199999944118</v>
      </c>
      <c r="N54" s="46">
        <f t="shared" si="25"/>
        <v>-23.125409999986459</v>
      </c>
      <c r="O54" s="61"/>
    </row>
    <row r="55" spans="1:15" ht="15" thickBot="1" x14ac:dyDescent="0.35">
      <c r="B55" s="57"/>
      <c r="C55" s="34">
        <v>-969.86327800000004</v>
      </c>
      <c r="D55" s="34"/>
      <c r="E55" s="34">
        <v>-76.798567000000006</v>
      </c>
      <c r="F55" s="34"/>
      <c r="G55" s="35">
        <v>-970.22698300000002</v>
      </c>
      <c r="H55" s="34"/>
      <c r="I55" s="34">
        <v>-76.418996000000007</v>
      </c>
      <c r="J55" s="73"/>
      <c r="K55" s="34">
        <f t="shared" si="22"/>
        <v>1.5865999999959968E-2</v>
      </c>
      <c r="L55" s="34">
        <f t="shared" si="23"/>
        <v>0.42838199999891913</v>
      </c>
      <c r="M55" s="54">
        <f t="shared" si="24"/>
        <v>41.251599999895916</v>
      </c>
      <c r="N55" s="48">
        <f t="shared" si="25"/>
        <v>9.9955799999747796</v>
      </c>
      <c r="O55" s="65"/>
    </row>
    <row r="56" spans="1:15" x14ac:dyDescent="0.3">
      <c r="B56" s="56" t="s">
        <v>63</v>
      </c>
      <c r="C56" s="20">
        <v>-969.84351800000002</v>
      </c>
      <c r="D56" s="20"/>
      <c r="E56" s="20">
        <v>-76.675348</v>
      </c>
      <c r="F56" s="20"/>
      <c r="G56" s="31">
        <v>-970.15570300000002</v>
      </c>
      <c r="H56" s="20"/>
      <c r="I56" s="20">
        <v>-76.411471000000006</v>
      </c>
      <c r="J56" s="72"/>
      <c r="K56" s="20">
        <f t="shared" si="22"/>
        <v>-4.8307999999906315E-2</v>
      </c>
      <c r="L56" s="20">
        <f t="shared" si="23"/>
        <v>-1.3043159999974705</v>
      </c>
      <c r="M56" s="51">
        <f t="shared" si="24"/>
        <v>-125.60079999975642</v>
      </c>
      <c r="N56" s="47">
        <f t="shared" si="25"/>
        <v>-30.434039999940978</v>
      </c>
      <c r="O56" s="60"/>
    </row>
    <row r="57" spans="1:15" ht="15" thickBot="1" x14ac:dyDescent="0.35">
      <c r="A57" s="9"/>
      <c r="B57" s="57"/>
      <c r="C57" s="34">
        <v>-969.86327800000004</v>
      </c>
      <c r="D57" s="34"/>
      <c r="E57" s="34">
        <v>-76.798567000000006</v>
      </c>
      <c r="F57" s="34"/>
      <c r="G57" s="35">
        <v>-970.24210700000003</v>
      </c>
      <c r="H57" s="34"/>
      <c r="I57" s="34">
        <v>-76.418996000000007</v>
      </c>
      <c r="J57" s="73"/>
      <c r="K57" s="34">
        <f t="shared" si="22"/>
        <v>7.4199999994561949E-4</v>
      </c>
      <c r="L57" s="34">
        <f t="shared" si="23"/>
        <v>2.0033999998531726E-2</v>
      </c>
      <c r="M57" s="54">
        <f t="shared" si="24"/>
        <v>1.9291999998586107</v>
      </c>
      <c r="N57" s="48">
        <f t="shared" si="25"/>
        <v>0.46745999996574028</v>
      </c>
      <c r="O57" s="63"/>
    </row>
    <row r="58" spans="1:15" x14ac:dyDescent="0.3">
      <c r="A58" s="67" t="s">
        <v>112</v>
      </c>
      <c r="B58" s="68" t="s">
        <v>113</v>
      </c>
      <c r="E58" s="66">
        <v>-76.687405999999996</v>
      </c>
    </row>
    <row r="59" spans="1:15" x14ac:dyDescent="0.3">
      <c r="A59" t="s">
        <v>114</v>
      </c>
      <c r="E59" s="14">
        <f>E58-E52</f>
        <v>-1.2057999999996127E-2</v>
      </c>
      <c r="F59" t="s">
        <v>103</v>
      </c>
    </row>
    <row r="60" spans="1:15" x14ac:dyDescent="0.3">
      <c r="E60">
        <f>E59*2600</f>
        <v>-31.350799999989931</v>
      </c>
      <c r="F60" t="s">
        <v>104</v>
      </c>
    </row>
    <row r="61" spans="1:15" x14ac:dyDescent="0.3">
      <c r="E61" t="s">
        <v>115</v>
      </c>
    </row>
    <row r="63" spans="1:15" ht="15" thickBot="1" x14ac:dyDescent="0.35"/>
    <row r="64" spans="1:15" x14ac:dyDescent="0.3">
      <c r="E64" s="9"/>
      <c r="F64" s="9"/>
      <c r="G64" s="9"/>
      <c r="H64" s="9"/>
      <c r="I64" s="83" t="s">
        <v>106</v>
      </c>
      <c r="J64" s="84"/>
      <c r="K64" s="85" t="s">
        <v>117</v>
      </c>
      <c r="L64" s="86" t="s">
        <v>102</v>
      </c>
      <c r="M64" s="86"/>
      <c r="N64" s="84"/>
    </row>
    <row r="65" spans="1:24" ht="15" thickBot="1" x14ac:dyDescent="0.35">
      <c r="E65" s="9"/>
      <c r="F65" s="9"/>
      <c r="G65" s="20"/>
      <c r="H65" s="9"/>
      <c r="I65" s="87"/>
      <c r="J65" s="88"/>
      <c r="K65" s="89"/>
      <c r="L65" s="90" t="s">
        <v>103</v>
      </c>
      <c r="M65" s="90" t="s">
        <v>93</v>
      </c>
      <c r="N65" s="89" t="s">
        <v>104</v>
      </c>
    </row>
    <row r="66" spans="1:24" x14ac:dyDescent="0.3">
      <c r="E66" s="9"/>
      <c r="F66" s="9"/>
      <c r="G66" s="31"/>
      <c r="H66" s="9"/>
      <c r="I66" s="91" t="s">
        <v>42</v>
      </c>
      <c r="J66" s="91" t="s">
        <v>116</v>
      </c>
      <c r="K66" s="92">
        <v>-970.15640699999994</v>
      </c>
      <c r="L66" s="93">
        <v>-4.9011999999720501E-2</v>
      </c>
      <c r="M66" s="93">
        <v>-1.3233239999924535</v>
      </c>
      <c r="N66" s="85">
        <v>-127.4311999992733</v>
      </c>
    </row>
    <row r="67" spans="1:24" ht="15" thickBot="1" x14ac:dyDescent="0.35">
      <c r="E67" s="9"/>
      <c r="F67" s="9"/>
      <c r="G67" s="31"/>
      <c r="H67" s="9"/>
      <c r="I67" s="94"/>
      <c r="J67" s="94" t="s">
        <v>48</v>
      </c>
      <c r="K67" s="95">
        <v>-970.24148500000001</v>
      </c>
      <c r="L67" s="96">
        <v>1.3639999999668362E-3</v>
      </c>
      <c r="M67" s="96">
        <v>3.6827999999104577E-2</v>
      </c>
      <c r="N67" s="97">
        <v>3.5463999999137741</v>
      </c>
    </row>
    <row r="68" spans="1:24" x14ac:dyDescent="0.3">
      <c r="E68" s="9"/>
      <c r="F68" s="9"/>
      <c r="G68" s="31"/>
      <c r="H68" s="9"/>
      <c r="I68" s="91" t="s">
        <v>43</v>
      </c>
      <c r="J68" s="91" t="s">
        <v>116</v>
      </c>
      <c r="K68" s="98">
        <v>-970.14410199999998</v>
      </c>
      <c r="L68" s="99">
        <v>-3.6706999999978507E-2</v>
      </c>
      <c r="M68" s="99">
        <v>-0.99108899999941968</v>
      </c>
      <c r="N68" s="100">
        <v>-95.438199999944118</v>
      </c>
    </row>
    <row r="69" spans="1:24" ht="15" thickBot="1" x14ac:dyDescent="0.35">
      <c r="E69" s="9"/>
      <c r="F69" s="9"/>
      <c r="G69" s="31"/>
      <c r="H69" s="9"/>
      <c r="I69" s="94"/>
      <c r="J69" s="94" t="s">
        <v>48</v>
      </c>
      <c r="K69" s="95">
        <v>-970.22698300000002</v>
      </c>
      <c r="L69" s="96">
        <v>1.5865999999959968E-2</v>
      </c>
      <c r="M69" s="96">
        <v>0.42838199999891913</v>
      </c>
      <c r="N69" s="97">
        <v>41.251599999895916</v>
      </c>
    </row>
    <row r="70" spans="1:24" x14ac:dyDescent="0.3">
      <c r="E70" s="9"/>
      <c r="F70" s="9"/>
      <c r="G70" s="31"/>
      <c r="H70" s="9"/>
      <c r="I70" s="91" t="s">
        <v>63</v>
      </c>
      <c r="J70" s="91" t="s">
        <v>116</v>
      </c>
      <c r="K70" s="98">
        <v>-970.15570300000002</v>
      </c>
      <c r="L70" s="99">
        <v>-4.8307999999906315E-2</v>
      </c>
      <c r="M70" s="99">
        <v>-1.3043159999974705</v>
      </c>
      <c r="N70" s="100">
        <v>-125.60079999975642</v>
      </c>
    </row>
    <row r="71" spans="1:24" ht="15" thickBot="1" x14ac:dyDescent="0.35">
      <c r="E71" s="9"/>
      <c r="F71" s="9"/>
      <c r="G71" s="31"/>
      <c r="H71" s="9"/>
      <c r="I71" s="94"/>
      <c r="J71" s="94" t="s">
        <v>48</v>
      </c>
      <c r="K71" s="95">
        <v>-970.24210700000003</v>
      </c>
      <c r="L71" s="96">
        <v>7.4199999994561949E-4</v>
      </c>
      <c r="M71" s="96">
        <v>2.0033999998531726E-2</v>
      </c>
      <c r="N71" s="97">
        <v>1.9291999998586107</v>
      </c>
    </row>
    <row r="73" spans="1:24" ht="15" thickBot="1" x14ac:dyDescent="0.35"/>
    <row r="74" spans="1:24" ht="15" thickBot="1" x14ac:dyDescent="0.35">
      <c r="B74" t="s">
        <v>247</v>
      </c>
      <c r="O74" s="1" t="s">
        <v>251</v>
      </c>
      <c r="P74" t="s">
        <v>250</v>
      </c>
      <c r="Q74" t="s">
        <v>252</v>
      </c>
      <c r="U74" t="s">
        <v>254</v>
      </c>
      <c r="V74" s="3" t="s">
        <v>93</v>
      </c>
      <c r="W74" s="59" t="s">
        <v>104</v>
      </c>
      <c r="X74" s="7" t="s">
        <v>105</v>
      </c>
    </row>
    <row r="75" spans="1:24" ht="15" thickBot="1" x14ac:dyDescent="0.35">
      <c r="B75" s="58" t="s">
        <v>106</v>
      </c>
      <c r="C75" s="21" t="s">
        <v>26</v>
      </c>
      <c r="D75" s="21" t="s">
        <v>27</v>
      </c>
      <c r="E75" s="21" t="s">
        <v>28</v>
      </c>
      <c r="F75" s="23" t="s">
        <v>29</v>
      </c>
      <c r="G75" s="21" t="s">
        <v>30</v>
      </c>
      <c r="H75" s="21" t="s">
        <v>27</v>
      </c>
      <c r="I75" s="21" t="s">
        <v>31</v>
      </c>
      <c r="J75" s="70"/>
      <c r="K75" s="3" t="s">
        <v>103</v>
      </c>
      <c r="L75" s="3" t="s">
        <v>93</v>
      </c>
      <c r="M75" s="59" t="s">
        <v>104</v>
      </c>
      <c r="N75" s="7" t="s">
        <v>105</v>
      </c>
      <c r="O75" s="1">
        <v>-970.35564299999999</v>
      </c>
      <c r="P75">
        <v>-970.35732599999994</v>
      </c>
      <c r="Q75">
        <v>-970.35523000000001</v>
      </c>
      <c r="U75">
        <f>Q75-O75</f>
        <v>4.1299999998045678E-4</v>
      </c>
      <c r="V75" s="105">
        <f>U75*27</f>
        <v>1.1150999999472333E-2</v>
      </c>
      <c r="W75" s="106">
        <f>U75*2600</f>
        <v>1.0737999999491876</v>
      </c>
      <c r="X75" s="107">
        <f>U75*630</f>
        <v>0.26018999998768777</v>
      </c>
    </row>
    <row r="76" spans="1:24" ht="15" thickBot="1" x14ac:dyDescent="0.35">
      <c r="B76" s="55" t="s">
        <v>42</v>
      </c>
      <c r="C76" s="38">
        <v>-969.84351800000002</v>
      </c>
      <c r="D76" s="38"/>
      <c r="E76" s="38">
        <v>-76.675348</v>
      </c>
      <c r="F76" s="38"/>
      <c r="G76" s="52">
        <v>-970.15640699999994</v>
      </c>
      <c r="H76" s="38"/>
      <c r="I76" s="38">
        <v>-76.411471000000006</v>
      </c>
      <c r="J76" s="76"/>
      <c r="K76" s="105">
        <f t="shared" ref="K76:K83" si="26">(I76+G76)-(E76+C76)</f>
        <v>-4.9011999999720501E-2</v>
      </c>
      <c r="L76" s="105">
        <f t="shared" ref="L76:L83" si="27">K76*27</f>
        <v>-1.3233239999924535</v>
      </c>
      <c r="M76" s="106">
        <f t="shared" ref="M76:M91" si="28">$K76*2600</f>
        <v>-127.4311999992733</v>
      </c>
      <c r="N76" s="107">
        <f t="shared" ref="N76:N91" si="29">$K76*630</f>
        <v>-30.877559999823916</v>
      </c>
      <c r="O76" s="1" t="s">
        <v>256</v>
      </c>
      <c r="V76" s="108"/>
      <c r="W76" s="109"/>
      <c r="X76" s="110"/>
    </row>
    <row r="77" spans="1:24" ht="15" thickBot="1" x14ac:dyDescent="0.35">
      <c r="B77" s="57" t="s">
        <v>257</v>
      </c>
      <c r="C77" s="34">
        <v>-969.86327800000004</v>
      </c>
      <c r="D77" s="34"/>
      <c r="E77" s="34">
        <v>-76.798567000000006</v>
      </c>
      <c r="F77" s="34"/>
      <c r="G77" s="35">
        <v>-970.24148500000001</v>
      </c>
      <c r="H77" s="34"/>
      <c r="I77" s="34">
        <v>-76.418996000000007</v>
      </c>
      <c r="J77" s="73"/>
      <c r="K77" s="108">
        <f t="shared" si="26"/>
        <v>1.3639999999668362E-3</v>
      </c>
      <c r="L77" s="108">
        <f t="shared" si="27"/>
        <v>3.6827999999104577E-2</v>
      </c>
      <c r="M77" s="109">
        <f t="shared" si="28"/>
        <v>3.5463999999137741</v>
      </c>
      <c r="N77" s="110">
        <f t="shared" si="29"/>
        <v>0.8593199999791068</v>
      </c>
      <c r="R77" t="s">
        <v>255</v>
      </c>
      <c r="U77" t="s">
        <v>253</v>
      </c>
    </row>
    <row r="78" spans="1:24" x14ac:dyDescent="0.3">
      <c r="A78" t="s">
        <v>248</v>
      </c>
      <c r="B78" s="56" t="s">
        <v>121</v>
      </c>
      <c r="C78">
        <v>-970.14002100000005</v>
      </c>
      <c r="D78" s="20"/>
      <c r="E78">
        <v>-76.696949000000004</v>
      </c>
      <c r="F78" s="20"/>
      <c r="G78">
        <v>-970.45077500000002</v>
      </c>
      <c r="H78" s="20"/>
      <c r="I78">
        <v>-76.436966999999996</v>
      </c>
      <c r="J78" s="72"/>
      <c r="K78" s="105">
        <f t="shared" ref="K78:K79" si="30">(I78+G78)-(E78+C78)</f>
        <v>-5.0772000000051776E-2</v>
      </c>
      <c r="L78" s="105">
        <f t="shared" ref="L78:L79" si="31">K78*27</f>
        <v>-1.3708440000013979</v>
      </c>
      <c r="M78" s="106">
        <f t="shared" si="28"/>
        <v>-132.00720000013462</v>
      </c>
      <c r="N78" s="107">
        <f t="shared" si="29"/>
        <v>-31.986360000032619</v>
      </c>
      <c r="U78">
        <f>P75-O75</f>
        <v>-1.6829999999572465E-3</v>
      </c>
      <c r="V78" s="105">
        <f>U78*27</f>
        <v>-4.5440999998845655E-2</v>
      </c>
      <c r="W78" s="106">
        <f>U78*2600</f>
        <v>-4.3757999998888408</v>
      </c>
      <c r="X78" s="107">
        <f>U78*630</f>
        <v>-1.0602899999730653</v>
      </c>
    </row>
    <row r="79" spans="1:24" ht="15" thickBot="1" x14ac:dyDescent="0.35">
      <c r="A79" t="s">
        <v>249</v>
      </c>
      <c r="B79" s="56"/>
      <c r="C79">
        <v>-970.15772200000004</v>
      </c>
      <c r="D79" s="20"/>
      <c r="E79">
        <v>-76.824034999999995</v>
      </c>
      <c r="F79" s="20"/>
      <c r="G79" s="15">
        <v>-970.53783399999998</v>
      </c>
      <c r="H79" s="20"/>
      <c r="I79">
        <v>-76.444311999999996</v>
      </c>
      <c r="J79" s="72"/>
      <c r="K79" s="108">
        <f t="shared" si="30"/>
        <v>-3.8900000004105095E-4</v>
      </c>
      <c r="L79" s="108">
        <f t="shared" si="31"/>
        <v>-1.0503000001108376E-2</v>
      </c>
      <c r="M79" s="109">
        <f t="shared" si="28"/>
        <v>-1.0114000001067325</v>
      </c>
      <c r="N79" s="110">
        <f t="shared" si="29"/>
        <v>-0.2450700000258621</v>
      </c>
    </row>
    <row r="80" spans="1:24" x14ac:dyDescent="0.3">
      <c r="B80" s="56"/>
      <c r="C80" s="20"/>
      <c r="D80" s="20"/>
      <c r="E80" s="20"/>
      <c r="F80" s="20"/>
      <c r="G80" s="31"/>
      <c r="H80" s="20"/>
      <c r="I80" s="20"/>
      <c r="J80" s="72"/>
      <c r="K80" s="111"/>
      <c r="L80" s="111"/>
      <c r="M80" s="112"/>
      <c r="N80" s="113"/>
    </row>
    <row r="81" spans="1:14" ht="15" thickBot="1" x14ac:dyDescent="0.35">
      <c r="B81" s="56"/>
      <c r="C81" s="20"/>
      <c r="D81" s="20"/>
      <c r="E81" s="20"/>
      <c r="F81" s="20"/>
      <c r="G81" s="31"/>
      <c r="H81" s="20"/>
      <c r="I81" s="20"/>
      <c r="J81" s="72"/>
      <c r="K81" s="111"/>
      <c r="L81" s="111"/>
      <c r="M81" s="112"/>
      <c r="N81" s="113"/>
    </row>
    <row r="82" spans="1:14" x14ac:dyDescent="0.3">
      <c r="B82" s="55" t="s">
        <v>43</v>
      </c>
      <c r="C82" s="38">
        <v>-969.84351800000002</v>
      </c>
      <c r="D82" s="38"/>
      <c r="E82" s="38">
        <v>-76.675348</v>
      </c>
      <c r="F82" s="38"/>
      <c r="G82" s="52">
        <v>-970.14410199999998</v>
      </c>
      <c r="H82" s="38"/>
      <c r="I82" s="38">
        <v>-76.411471000000006</v>
      </c>
      <c r="J82" s="76"/>
      <c r="K82" s="105">
        <f t="shared" si="26"/>
        <v>-3.6706999999978507E-2</v>
      </c>
      <c r="L82" s="105">
        <f t="shared" si="27"/>
        <v>-0.99108899999941968</v>
      </c>
      <c r="M82" s="106">
        <f t="shared" si="28"/>
        <v>-95.438199999944118</v>
      </c>
      <c r="N82" s="107">
        <f t="shared" si="29"/>
        <v>-23.125409999986459</v>
      </c>
    </row>
    <row r="83" spans="1:14" ht="15" thickBot="1" x14ac:dyDescent="0.35">
      <c r="B83" s="57" t="s">
        <v>257</v>
      </c>
      <c r="C83" s="34">
        <v>-969.86327800000004</v>
      </c>
      <c r="D83" s="34"/>
      <c r="E83" s="34">
        <v>-76.798567000000006</v>
      </c>
      <c r="F83" s="34"/>
      <c r="G83" s="35">
        <v>-970.22698300000002</v>
      </c>
      <c r="H83" s="34"/>
      <c r="I83" s="34">
        <v>-76.418996000000007</v>
      </c>
      <c r="J83" s="73"/>
      <c r="K83" s="108">
        <f t="shared" si="26"/>
        <v>1.5865999999959968E-2</v>
      </c>
      <c r="L83" s="108">
        <f t="shared" si="27"/>
        <v>0.42838199999891913</v>
      </c>
      <c r="M83" s="109">
        <f t="shared" si="28"/>
        <v>41.251599999895916</v>
      </c>
      <c r="N83" s="110">
        <f t="shared" si="29"/>
        <v>9.9955799999747796</v>
      </c>
    </row>
    <row r="84" spans="1:14" x14ac:dyDescent="0.3">
      <c r="A84" t="s">
        <v>248</v>
      </c>
      <c r="B84" s="56" t="s">
        <v>121</v>
      </c>
      <c r="C84">
        <v>-970.14002100000005</v>
      </c>
      <c r="D84" s="20"/>
      <c r="E84">
        <v>-76.696949000000004</v>
      </c>
      <c r="F84" s="20"/>
      <c r="G84">
        <v>-970.43819800000006</v>
      </c>
      <c r="H84" s="20"/>
      <c r="I84">
        <v>-76.436966999999996</v>
      </c>
      <c r="J84" s="72"/>
      <c r="K84" s="105">
        <f t="shared" ref="K84:K85" si="32">(I84+G84)-(E84+C84)</f>
        <v>-3.819500000008702E-2</v>
      </c>
      <c r="L84" s="105">
        <f t="shared" ref="L84:L85" si="33">K84*27</f>
        <v>-1.0312650000023496</v>
      </c>
      <c r="M84" s="106">
        <f t="shared" si="28"/>
        <v>-99.307000000226253</v>
      </c>
      <c r="N84" s="107">
        <f t="shared" si="29"/>
        <v>-24.062850000054823</v>
      </c>
    </row>
    <row r="85" spans="1:14" ht="15" thickBot="1" x14ac:dyDescent="0.35">
      <c r="A85" t="s">
        <v>249</v>
      </c>
      <c r="B85" s="56"/>
      <c r="C85">
        <v>-970.15772200000004</v>
      </c>
      <c r="D85" s="20"/>
      <c r="E85">
        <v>-76.824034999999995</v>
      </c>
      <c r="F85" s="20"/>
      <c r="G85">
        <v>-970.52695700000004</v>
      </c>
      <c r="H85" s="20"/>
      <c r="I85">
        <v>-76.444311999999996</v>
      </c>
      <c r="J85" s="72"/>
      <c r="K85" s="108">
        <f t="shared" si="32"/>
        <v>1.0487999999895692E-2</v>
      </c>
      <c r="L85" s="108">
        <f t="shared" si="33"/>
        <v>0.28317599999718368</v>
      </c>
      <c r="M85" s="109">
        <f t="shared" si="28"/>
        <v>27.268799999728799</v>
      </c>
      <c r="N85" s="110">
        <f t="shared" si="29"/>
        <v>6.6074399999342859</v>
      </c>
    </row>
    <row r="86" spans="1:14" x14ac:dyDescent="0.3">
      <c r="B86" s="56"/>
      <c r="C86" s="20"/>
      <c r="D86" s="20"/>
      <c r="E86" s="20"/>
      <c r="F86" s="20"/>
      <c r="G86" s="31"/>
      <c r="H86" s="20"/>
      <c r="I86" s="20"/>
      <c r="J86" s="72"/>
      <c r="K86" s="111"/>
      <c r="L86" s="111"/>
      <c r="M86" s="112"/>
      <c r="N86" s="113"/>
    </row>
    <row r="87" spans="1:14" x14ac:dyDescent="0.3">
      <c r="B87" s="56"/>
      <c r="C87" s="20"/>
      <c r="D87" s="20"/>
      <c r="E87" s="20"/>
      <c r="F87" s="20"/>
      <c r="G87" s="31"/>
      <c r="H87" s="20"/>
      <c r="I87" s="20"/>
      <c r="J87" s="72"/>
      <c r="K87" s="111"/>
      <c r="L87" s="111"/>
      <c r="M87" s="112"/>
      <c r="N87" s="113"/>
    </row>
    <row r="88" spans="1:14" x14ac:dyDescent="0.3">
      <c r="B88" s="101" t="s">
        <v>63</v>
      </c>
      <c r="C88" s="102">
        <v>-969.84351800000002</v>
      </c>
      <c r="D88" s="102"/>
      <c r="E88" s="102">
        <v>-76.675348</v>
      </c>
      <c r="F88" s="102"/>
      <c r="G88" s="103">
        <v>-970.15570300000002</v>
      </c>
      <c r="H88" s="102"/>
      <c r="I88" s="102">
        <v>-76.411471000000006</v>
      </c>
      <c r="J88" s="104"/>
      <c r="K88" s="114">
        <f t="shared" ref="K88:K91" si="34">(I88+G88)-(E88+C88)</f>
        <v>-4.8307999999906315E-2</v>
      </c>
      <c r="L88" s="114">
        <f t="shared" ref="L88:L91" si="35">K88*27</f>
        <v>-1.3043159999974705</v>
      </c>
      <c r="M88" s="115">
        <f t="shared" si="28"/>
        <v>-125.60079999975642</v>
      </c>
      <c r="N88" s="116">
        <f t="shared" si="29"/>
        <v>-30.434039999940978</v>
      </c>
    </row>
    <row r="89" spans="1:14" ht="15" thickBot="1" x14ac:dyDescent="0.35">
      <c r="B89" s="57" t="s">
        <v>257</v>
      </c>
      <c r="C89" s="34">
        <v>-969.86327800000004</v>
      </c>
      <c r="D89" s="34"/>
      <c r="E89" s="34">
        <v>-76.798567000000006</v>
      </c>
      <c r="F89" s="34"/>
      <c r="G89" s="35">
        <v>-970.24210700000003</v>
      </c>
      <c r="H89" s="34"/>
      <c r="I89" s="34">
        <v>-76.418996000000007</v>
      </c>
      <c r="J89" s="73"/>
      <c r="K89" s="108">
        <f t="shared" si="34"/>
        <v>7.4199999994561949E-4</v>
      </c>
      <c r="L89" s="108">
        <f t="shared" si="35"/>
        <v>2.0033999998531726E-2</v>
      </c>
      <c r="M89" s="109">
        <f t="shared" si="28"/>
        <v>1.9291999998586107</v>
      </c>
      <c r="N89" s="110">
        <f t="shared" si="29"/>
        <v>0.46745999996574028</v>
      </c>
    </row>
    <row r="90" spans="1:14" x14ac:dyDescent="0.3">
      <c r="A90" t="s">
        <v>248</v>
      </c>
      <c r="B90" s="56" t="s">
        <v>121</v>
      </c>
      <c r="C90">
        <v>-970.14002100000005</v>
      </c>
      <c r="D90" s="20"/>
      <c r="E90">
        <v>-76.696949000000004</v>
      </c>
      <c r="F90" s="20"/>
      <c r="G90">
        <v>-970.45077200000003</v>
      </c>
      <c r="H90" s="20"/>
      <c r="I90">
        <v>-76.436966999999996</v>
      </c>
      <c r="J90" s="72"/>
      <c r="K90" s="105">
        <f t="shared" si="34"/>
        <v>-5.0768999999945663E-2</v>
      </c>
      <c r="L90" s="105">
        <f t="shared" si="35"/>
        <v>-1.3707629999985329</v>
      </c>
      <c r="M90" s="106">
        <f t="shared" si="28"/>
        <v>-131.99939999985872</v>
      </c>
      <c r="N90" s="107">
        <f t="shared" si="29"/>
        <v>-31.984469999965768</v>
      </c>
    </row>
    <row r="91" spans="1:14" ht="15" thickBot="1" x14ac:dyDescent="0.35">
      <c r="A91" t="s">
        <v>249</v>
      </c>
      <c r="B91" s="56"/>
      <c r="C91">
        <v>-970.15772200000004</v>
      </c>
      <c r="D91" s="20"/>
      <c r="E91">
        <v>-76.824034999999995</v>
      </c>
      <c r="F91" s="20"/>
      <c r="G91">
        <v>-970.53577099999995</v>
      </c>
      <c r="H91" s="20"/>
      <c r="I91">
        <v>-76.444311999999996</v>
      </c>
      <c r="J91" s="72"/>
      <c r="K91" s="108">
        <f t="shared" si="34"/>
        <v>1.6740000000936561E-3</v>
      </c>
      <c r="L91" s="108">
        <f t="shared" si="35"/>
        <v>4.5198000002528715E-2</v>
      </c>
      <c r="M91" s="109">
        <f t="shared" si="28"/>
        <v>4.3524000002435059</v>
      </c>
      <c r="N91" s="110">
        <f t="shared" si="29"/>
        <v>1.0546200000590034</v>
      </c>
    </row>
    <row r="92" spans="1:14" x14ac:dyDescent="0.3">
      <c r="B92" s="56"/>
      <c r="C92" s="20"/>
      <c r="D92" s="20"/>
      <c r="E92" s="20"/>
      <c r="F92" s="20"/>
      <c r="G92" s="31"/>
      <c r="H92" s="20"/>
      <c r="I92" s="20"/>
      <c r="J92" s="72"/>
      <c r="K92" s="20"/>
      <c r="L92" s="20"/>
      <c r="M92" s="51"/>
      <c r="N92" s="47"/>
    </row>
    <row r="93" spans="1:14" ht="15" thickBot="1" x14ac:dyDescent="0.35">
      <c r="B93" s="57"/>
      <c r="C93" s="34"/>
      <c r="D93" s="34"/>
      <c r="E93" s="34"/>
      <c r="F93" s="34"/>
      <c r="G93" s="35"/>
      <c r="H93" s="34"/>
      <c r="I93" s="34"/>
      <c r="J93" s="73"/>
      <c r="K93" s="34"/>
      <c r="L93" s="34"/>
      <c r="M93" s="54"/>
      <c r="N93" s="48"/>
    </row>
    <row r="96" spans="1:14" x14ac:dyDescent="0.3">
      <c r="A96" t="s">
        <v>258</v>
      </c>
    </row>
    <row r="97" spans="2:14" ht="15" thickBot="1" x14ac:dyDescent="0.35"/>
    <row r="98" spans="2:14" ht="15" thickBot="1" x14ac:dyDescent="0.35">
      <c r="B98" s="58" t="s">
        <v>259</v>
      </c>
      <c r="C98" s="21" t="s">
        <v>30</v>
      </c>
      <c r="D98" s="23" t="s">
        <v>29</v>
      </c>
      <c r="E98" s="21" t="s">
        <v>260</v>
      </c>
      <c r="F98" s="21" t="s">
        <v>27</v>
      </c>
      <c r="G98" s="21" t="s">
        <v>261</v>
      </c>
      <c r="H98" s="21"/>
      <c r="I98" s="21"/>
      <c r="J98" s="70"/>
      <c r="K98" s="3" t="s">
        <v>103</v>
      </c>
      <c r="L98" s="3" t="s">
        <v>93</v>
      </c>
      <c r="M98" s="59" t="s">
        <v>104</v>
      </c>
      <c r="N98" s="7" t="s">
        <v>105</v>
      </c>
    </row>
    <row r="99" spans="2:14" ht="15" thickBot="1" x14ac:dyDescent="0.35">
      <c r="B99" s="55" t="s">
        <v>42</v>
      </c>
      <c r="C99" s="52">
        <v>-970.15640699999994</v>
      </c>
      <c r="D99" s="38"/>
      <c r="E99">
        <v>-765.42317800000001</v>
      </c>
      <c r="F99" s="38"/>
      <c r="G99" s="38">
        <v>-204.68172200000001</v>
      </c>
      <c r="H99" s="38"/>
      <c r="I99" s="38"/>
      <c r="J99" s="76"/>
      <c r="K99" s="105">
        <f>(G99+E99)-C99</f>
        <v>5.1506999999901382E-2</v>
      </c>
      <c r="L99" s="105">
        <f>K99*27</f>
        <v>1.3906889999973373</v>
      </c>
      <c r="M99" s="106">
        <f>$K99*2600</f>
        <v>133.91819999974359</v>
      </c>
      <c r="N99" s="107">
        <f>$K99*630</f>
        <v>32.44940999993787</v>
      </c>
    </row>
    <row r="100" spans="2:14" ht="15" thickBot="1" x14ac:dyDescent="0.35">
      <c r="B100" s="57" t="s">
        <v>257</v>
      </c>
      <c r="C100" s="35">
        <v>-970.24148500000001</v>
      </c>
      <c r="D100" s="34"/>
      <c r="E100" s="34"/>
      <c r="F100" s="34"/>
      <c r="G100" s="20">
        <v>-204.79655600000001</v>
      </c>
      <c r="H100" s="34"/>
      <c r="I100" s="34"/>
      <c r="J100" s="73"/>
      <c r="K100" s="105">
        <f t="shared" ref="K100:K102" si="36">(G100+E100)-C100</f>
        <v>765.444929</v>
      </c>
      <c r="L100" s="108">
        <f t="shared" ref="L100:L102" si="37">K100*27</f>
        <v>20667.013083000002</v>
      </c>
      <c r="M100" s="109">
        <f t="shared" ref="M100:M114" si="38">$K100*2600</f>
        <v>1990156.8154</v>
      </c>
      <c r="N100" s="110">
        <f t="shared" ref="N100:N114" si="39">$K100*630</f>
        <v>482230.30527000001</v>
      </c>
    </row>
    <row r="101" spans="2:14" ht="15" thickBot="1" x14ac:dyDescent="0.35">
      <c r="B101" s="56" t="s">
        <v>121</v>
      </c>
      <c r="C101">
        <v>-970.45077500000002</v>
      </c>
      <c r="D101" s="20"/>
      <c r="E101" s="20"/>
      <c r="F101" s="20"/>
      <c r="G101" s="20">
        <v>-204.74860799999999</v>
      </c>
      <c r="H101" s="20"/>
      <c r="I101" s="20"/>
      <c r="J101" s="72"/>
      <c r="K101" s="105">
        <f t="shared" si="36"/>
        <v>765.70216700000003</v>
      </c>
      <c r="L101" s="105">
        <f t="shared" si="37"/>
        <v>20673.958509</v>
      </c>
      <c r="M101" s="106">
        <f t="shared" si="38"/>
        <v>1990825.6342</v>
      </c>
      <c r="N101" s="107">
        <f t="shared" si="39"/>
        <v>482392.36521000002</v>
      </c>
    </row>
    <row r="102" spans="2:14" ht="15" thickBot="1" x14ac:dyDescent="0.35">
      <c r="B102" s="56"/>
      <c r="C102" s="15">
        <v>-970.53783399999998</v>
      </c>
      <c r="D102" s="20"/>
      <c r="E102" s="20"/>
      <c r="F102" s="20"/>
      <c r="G102" s="20">
        <v>-204.86345299999999</v>
      </c>
      <c r="H102" s="20"/>
      <c r="I102" s="20"/>
      <c r="J102" s="72"/>
      <c r="K102" s="105">
        <f t="shared" si="36"/>
        <v>765.67438100000004</v>
      </c>
      <c r="L102" s="108">
        <f t="shared" si="37"/>
        <v>20673.208287000001</v>
      </c>
      <c r="M102" s="109">
        <f t="shared" si="38"/>
        <v>1990753.3906</v>
      </c>
      <c r="N102" s="110">
        <f t="shared" si="39"/>
        <v>482374.86003000004</v>
      </c>
    </row>
    <row r="103" spans="2:14" x14ac:dyDescent="0.3">
      <c r="B103" s="56"/>
      <c r="C103" s="31"/>
      <c r="D103" s="20"/>
      <c r="E103" s="20"/>
      <c r="F103" s="20"/>
      <c r="H103" s="20"/>
      <c r="I103" s="20"/>
      <c r="J103" s="72"/>
      <c r="K103" s="111"/>
      <c r="L103" s="111"/>
      <c r="M103" s="112"/>
      <c r="N103" s="113"/>
    </row>
    <row r="104" spans="2:14" ht="15" thickBot="1" x14ac:dyDescent="0.35">
      <c r="B104" s="56"/>
      <c r="C104" s="31"/>
      <c r="D104" s="20"/>
      <c r="E104" s="34"/>
      <c r="F104" s="20"/>
      <c r="G104" s="20"/>
      <c r="H104" s="20"/>
      <c r="I104" s="20"/>
      <c r="J104" s="72"/>
      <c r="K104" s="111"/>
      <c r="L104" s="111"/>
      <c r="M104" s="112"/>
      <c r="N104" s="113"/>
    </row>
    <row r="105" spans="2:14" ht="15" thickBot="1" x14ac:dyDescent="0.35">
      <c r="B105" s="55" t="s">
        <v>43</v>
      </c>
      <c r="C105" s="52">
        <v>-970.14410199999998</v>
      </c>
      <c r="D105" s="38"/>
      <c r="E105">
        <v>-765.42317800000001</v>
      </c>
      <c r="F105" s="38"/>
      <c r="G105" s="38">
        <v>-204.68172200000001</v>
      </c>
      <c r="H105" s="38"/>
      <c r="I105" s="38"/>
      <c r="J105" s="76"/>
      <c r="K105" s="105">
        <f>(G105+E105)-C105</f>
        <v>3.9201999999932013E-2</v>
      </c>
      <c r="L105" s="105">
        <f t="shared" ref="L105:L108" si="40">K105*27</f>
        <v>1.0584539999981644</v>
      </c>
      <c r="M105" s="106">
        <f t="shared" si="38"/>
        <v>101.92519999982323</v>
      </c>
      <c r="N105" s="107">
        <f t="shared" si="39"/>
        <v>24.697259999957168</v>
      </c>
    </row>
    <row r="106" spans="2:14" ht="15" thickBot="1" x14ac:dyDescent="0.35">
      <c r="B106" s="57" t="s">
        <v>257</v>
      </c>
      <c r="C106" s="35">
        <v>-970.22698300000002</v>
      </c>
      <c r="D106" s="34"/>
      <c r="E106" s="34"/>
      <c r="F106" s="34"/>
      <c r="G106" s="20">
        <v>-204.79655600000001</v>
      </c>
      <c r="H106" s="34"/>
      <c r="I106" s="34"/>
      <c r="J106" s="73"/>
      <c r="K106" s="105">
        <f t="shared" ref="K106:K108" si="41">(G106+E106)-C106</f>
        <v>765.43042700000001</v>
      </c>
      <c r="L106" s="108">
        <f t="shared" si="40"/>
        <v>20666.621529</v>
      </c>
      <c r="M106" s="109">
        <f t="shared" si="38"/>
        <v>1990119.1102</v>
      </c>
      <c r="N106" s="110">
        <f t="shared" si="39"/>
        <v>482221.16901000001</v>
      </c>
    </row>
    <row r="107" spans="2:14" ht="15" thickBot="1" x14ac:dyDescent="0.35">
      <c r="B107" s="56" t="s">
        <v>121</v>
      </c>
      <c r="C107">
        <v>-970.43819800000006</v>
      </c>
      <c r="D107" s="20"/>
      <c r="E107" s="20"/>
      <c r="F107" s="20"/>
      <c r="G107" s="20">
        <v>-204.74860799999999</v>
      </c>
      <c r="H107" s="20"/>
      <c r="I107" s="20"/>
      <c r="J107" s="72"/>
      <c r="K107" s="105">
        <f t="shared" si="41"/>
        <v>765.68959000000007</v>
      </c>
      <c r="L107" s="105">
        <f t="shared" si="40"/>
        <v>20673.618930000001</v>
      </c>
      <c r="M107" s="106">
        <f t="shared" si="38"/>
        <v>1990792.9340000001</v>
      </c>
      <c r="N107" s="107">
        <f t="shared" si="39"/>
        <v>482384.44170000002</v>
      </c>
    </row>
    <row r="108" spans="2:14" ht="15" thickBot="1" x14ac:dyDescent="0.35">
      <c r="B108" s="56"/>
      <c r="C108">
        <v>-970.52695700000004</v>
      </c>
      <c r="D108" s="20"/>
      <c r="E108" s="20"/>
      <c r="F108" s="20"/>
      <c r="G108" s="20">
        <v>-204.86345299999999</v>
      </c>
      <c r="H108" s="20"/>
      <c r="I108" s="20"/>
      <c r="J108" s="72"/>
      <c r="K108" s="105">
        <f t="shared" si="41"/>
        <v>765.6635040000001</v>
      </c>
      <c r="L108" s="108">
        <f t="shared" si="40"/>
        <v>20672.914608000003</v>
      </c>
      <c r="M108" s="109">
        <f t="shared" si="38"/>
        <v>1990725.1104000004</v>
      </c>
      <c r="N108" s="110">
        <f t="shared" si="39"/>
        <v>482368.00752000004</v>
      </c>
    </row>
    <row r="109" spans="2:14" x14ac:dyDescent="0.3">
      <c r="B109" s="56"/>
      <c r="C109" s="31"/>
      <c r="D109" s="20"/>
      <c r="E109" s="20"/>
      <c r="F109" s="20"/>
      <c r="G109" s="20"/>
      <c r="H109" s="20"/>
      <c r="I109" s="20"/>
      <c r="J109" s="72"/>
      <c r="K109" s="111"/>
      <c r="L109" s="111"/>
      <c r="M109" s="112"/>
      <c r="N109" s="113"/>
    </row>
    <row r="110" spans="2:14" ht="15" thickBot="1" x14ac:dyDescent="0.35">
      <c r="B110" s="56"/>
      <c r="C110" s="31"/>
      <c r="D110" s="20"/>
      <c r="E110" s="20"/>
      <c r="F110" s="20"/>
      <c r="G110" s="20"/>
      <c r="H110" s="20"/>
      <c r="I110" s="20"/>
      <c r="J110" s="72"/>
      <c r="K110" s="111"/>
      <c r="L110" s="111"/>
      <c r="M110" s="112"/>
      <c r="N110" s="113"/>
    </row>
    <row r="111" spans="2:14" ht="15" thickBot="1" x14ac:dyDescent="0.35">
      <c r="B111" s="101" t="s">
        <v>63</v>
      </c>
      <c r="C111" s="103">
        <v>-970.15570300000002</v>
      </c>
      <c r="D111" s="102"/>
      <c r="E111">
        <v>-765.42317800000001</v>
      </c>
      <c r="F111" s="102"/>
      <c r="G111" s="38">
        <v>-204.68172200000001</v>
      </c>
      <c r="H111" s="102"/>
      <c r="I111" s="102"/>
      <c r="J111" s="104"/>
      <c r="K111" s="105">
        <f>(G111+E111)-C111</f>
        <v>5.0802999999973508E-2</v>
      </c>
      <c r="L111" s="114">
        <f t="shared" ref="L111:L114" si="42">K111*27</f>
        <v>1.3716809999992847</v>
      </c>
      <c r="M111" s="115">
        <f t="shared" si="38"/>
        <v>132.08779999993112</v>
      </c>
      <c r="N111" s="116">
        <f t="shared" si="39"/>
        <v>32.00588999998331</v>
      </c>
    </row>
    <row r="112" spans="2:14" ht="15" thickBot="1" x14ac:dyDescent="0.35">
      <c r="B112" s="57" t="s">
        <v>257</v>
      </c>
      <c r="C112" s="35">
        <v>-970.24210700000003</v>
      </c>
      <c r="D112" s="34"/>
      <c r="E112" s="34"/>
      <c r="F112" s="34"/>
      <c r="G112" s="20">
        <v>-204.79655600000001</v>
      </c>
      <c r="H112" s="34"/>
      <c r="I112" s="34"/>
      <c r="J112" s="73"/>
      <c r="K112" s="105">
        <f t="shared" ref="K112:K114" si="43">(G112+E112)-C112</f>
        <v>765.44555100000002</v>
      </c>
      <c r="L112" s="108">
        <f t="shared" si="42"/>
        <v>20667.029877000001</v>
      </c>
      <c r="M112" s="109">
        <f t="shared" si="38"/>
        <v>1990158.4326000002</v>
      </c>
      <c r="N112" s="110">
        <f t="shared" si="39"/>
        <v>482230.69712999999</v>
      </c>
    </row>
    <row r="113" spans="2:14" ht="15" thickBot="1" x14ac:dyDescent="0.35">
      <c r="B113" s="56" t="s">
        <v>121</v>
      </c>
      <c r="C113">
        <v>-970.45077200000003</v>
      </c>
      <c r="D113" s="20"/>
      <c r="E113" s="20"/>
      <c r="F113" s="20"/>
      <c r="G113" s="20">
        <v>-204.74860799999999</v>
      </c>
      <c r="H113" s="20"/>
      <c r="I113" s="20"/>
      <c r="J113" s="72"/>
      <c r="K113" s="105">
        <f t="shared" si="43"/>
        <v>765.70216400000004</v>
      </c>
      <c r="L113" s="105">
        <f t="shared" si="42"/>
        <v>20673.958428000002</v>
      </c>
      <c r="M113" s="106">
        <f t="shared" si="38"/>
        <v>1990825.6264000002</v>
      </c>
      <c r="N113" s="107">
        <f t="shared" si="39"/>
        <v>482392.36332</v>
      </c>
    </row>
    <row r="114" spans="2:14" ht="15" thickBot="1" x14ac:dyDescent="0.35">
      <c r="B114" s="56"/>
      <c r="C114">
        <v>-970.53577099999995</v>
      </c>
      <c r="D114" s="20"/>
      <c r="E114" s="20"/>
      <c r="F114" s="20"/>
      <c r="G114" s="20">
        <v>-204.86345299999999</v>
      </c>
      <c r="H114" s="20"/>
      <c r="I114" s="20"/>
      <c r="J114" s="72"/>
      <c r="K114" s="105">
        <f t="shared" si="43"/>
        <v>765.6723179999999</v>
      </c>
      <c r="L114" s="108">
        <f t="shared" si="42"/>
        <v>20673.152585999997</v>
      </c>
      <c r="M114" s="109">
        <f t="shared" si="38"/>
        <v>1990748.0267999996</v>
      </c>
      <c r="N114" s="110">
        <f t="shared" si="39"/>
        <v>482373.56033999997</v>
      </c>
    </row>
    <row r="115" spans="2:14" x14ac:dyDescent="0.3">
      <c r="B115" s="56"/>
      <c r="C115" s="31"/>
      <c r="D115" s="20"/>
      <c r="E115" s="20"/>
      <c r="F115" s="20"/>
      <c r="G115" s="20"/>
      <c r="H115" s="20"/>
      <c r="I115" s="20"/>
      <c r="J115" s="72"/>
      <c r="K115" s="20"/>
      <c r="L115" s="20"/>
      <c r="M115" s="51"/>
      <c r="N115" s="47"/>
    </row>
    <row r="116" spans="2:14" ht="15" thickBot="1" x14ac:dyDescent="0.35">
      <c r="B116" s="57"/>
      <c r="C116" s="35"/>
      <c r="D116" s="34"/>
      <c r="E116" s="34"/>
      <c r="F116" s="34"/>
      <c r="G116" s="34"/>
      <c r="H116" s="34"/>
      <c r="I116" s="34"/>
      <c r="J116" s="73"/>
      <c r="K116" s="34"/>
      <c r="L116" s="34"/>
      <c r="M116" s="54"/>
      <c r="N116" s="48"/>
    </row>
  </sheetData>
  <hyperlinks>
    <hyperlink ref="E58" r:id="rId1" display="https://cccbdb.nist.gov/energy3x.asp?method=60&amp;basis=4&amp;charge=1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F2C9-56DB-4134-8FCF-B6BD8B858E4E}">
  <dimension ref="A1:Z125"/>
  <sheetViews>
    <sheetView topLeftCell="A22" zoomScale="80" workbookViewId="0">
      <selection activeCell="N49" sqref="N49"/>
    </sheetView>
    <sheetView tabSelected="1" workbookViewId="1"/>
  </sheetViews>
  <sheetFormatPr defaultRowHeight="14.4" x14ac:dyDescent="0.3"/>
  <cols>
    <col min="1" max="1" width="13.33203125" customWidth="1"/>
    <col min="2" max="2" width="14.5546875" bestFit="1" customWidth="1"/>
    <col min="3" max="3" width="11.5546875" customWidth="1"/>
    <col min="4" max="4" width="2" bestFit="1" customWidth="1"/>
    <col min="5" max="5" width="10.5546875" customWidth="1"/>
    <col min="6" max="6" width="2.6640625" bestFit="1" customWidth="1"/>
    <col min="7" max="7" width="13.88671875" customWidth="1"/>
    <col min="8" max="8" width="2" bestFit="1" customWidth="1"/>
    <col min="9" max="9" width="11.5546875" customWidth="1"/>
    <col min="10" max="10" width="7.109375" style="69" customWidth="1"/>
    <col min="11" max="11" width="10.5546875" customWidth="1"/>
    <col min="12" max="12" width="10.33203125" bestFit="1" customWidth="1"/>
    <col min="13" max="13" width="12.33203125" style="49" bestFit="1" customWidth="1"/>
    <col min="14" max="14" width="11.33203125" bestFit="1" customWidth="1"/>
    <col min="15" max="15" width="46.33203125" style="1" customWidth="1"/>
    <col min="16" max="16" width="42.44140625" bestFit="1" customWidth="1"/>
    <col min="19" max="19" width="13" customWidth="1"/>
    <col min="20" max="20" width="11.33203125" bestFit="1" customWidth="1"/>
    <col min="22" max="23" width="12" bestFit="1" customWidth="1"/>
    <col min="24" max="24" width="8.6640625" bestFit="1" customWidth="1"/>
  </cols>
  <sheetData>
    <row r="1" spans="1:26" ht="15" thickBot="1" x14ac:dyDescent="0.35">
      <c r="A1" t="s">
        <v>101</v>
      </c>
      <c r="K1" t="s">
        <v>92</v>
      </c>
      <c r="L1" t="s">
        <v>93</v>
      </c>
      <c r="M1" s="49" t="s">
        <v>94</v>
      </c>
      <c r="N1" t="s">
        <v>95</v>
      </c>
    </row>
    <row r="2" spans="1:26" ht="15" thickBot="1" x14ac:dyDescent="0.35">
      <c r="A2" s="2" t="s">
        <v>25</v>
      </c>
      <c r="B2" s="3"/>
      <c r="C2" s="3"/>
      <c r="D2" s="3"/>
      <c r="E2" s="3"/>
      <c r="F2" s="3"/>
      <c r="G2" s="3"/>
      <c r="H2" s="3"/>
      <c r="I2" s="3"/>
      <c r="J2" s="70"/>
      <c r="K2" s="7"/>
      <c r="L2" s="9"/>
      <c r="O2" s="1" t="s">
        <v>390</v>
      </c>
      <c r="P2" s="9" t="s">
        <v>84</v>
      </c>
      <c r="Q2" s="9" t="s">
        <v>90</v>
      </c>
      <c r="R2" s="9"/>
      <c r="S2" s="9"/>
      <c r="T2" s="9"/>
      <c r="U2" s="9"/>
      <c r="Y2" s="9"/>
      <c r="Z2" s="9"/>
    </row>
    <row r="3" spans="1:26" ht="15" thickBot="1" x14ac:dyDescent="0.35">
      <c r="A3" s="2" t="s">
        <v>51</v>
      </c>
      <c r="B3" s="3"/>
      <c r="C3" s="3" t="s">
        <v>26</v>
      </c>
      <c r="D3" s="3" t="s">
        <v>27</v>
      </c>
      <c r="E3" s="3" t="s">
        <v>28</v>
      </c>
      <c r="F3" s="4" t="s">
        <v>29</v>
      </c>
      <c r="G3" s="3" t="s">
        <v>30</v>
      </c>
      <c r="H3" s="3" t="s">
        <v>27</v>
      </c>
      <c r="I3" s="3" t="s">
        <v>31</v>
      </c>
      <c r="J3" s="70"/>
      <c r="K3" s="8" t="s">
        <v>50</v>
      </c>
      <c r="L3" s="12"/>
      <c r="M3" s="50"/>
      <c r="O3" s="1" t="s">
        <v>391</v>
      </c>
      <c r="P3" s="29" t="s">
        <v>85</v>
      </c>
      <c r="Q3" s="9" t="s">
        <v>91</v>
      </c>
      <c r="R3" s="11"/>
      <c r="S3" s="9"/>
      <c r="T3" s="9"/>
      <c r="U3" s="9"/>
      <c r="Y3" s="9"/>
      <c r="Z3" s="12"/>
    </row>
    <row r="4" spans="1:26" x14ac:dyDescent="0.3">
      <c r="A4" s="30"/>
      <c r="B4" s="9"/>
      <c r="C4" s="9"/>
      <c r="D4" s="9"/>
      <c r="E4" s="9"/>
      <c r="F4" s="11"/>
      <c r="G4" s="28" t="s">
        <v>89</v>
      </c>
      <c r="H4" s="9"/>
      <c r="I4" s="9"/>
      <c r="J4" s="71"/>
      <c r="K4" s="8"/>
      <c r="L4" s="12"/>
      <c r="M4" s="50"/>
      <c r="P4" s="9"/>
      <c r="Q4" s="9"/>
      <c r="R4" s="11"/>
      <c r="S4" s="9"/>
      <c r="T4" s="9"/>
      <c r="U4" s="9"/>
      <c r="Y4" s="9"/>
      <c r="Z4" s="12"/>
    </row>
    <row r="5" spans="1:26" x14ac:dyDescent="0.3">
      <c r="A5" s="30" t="s">
        <v>83</v>
      </c>
      <c r="B5" s="9"/>
      <c r="C5" s="20">
        <v>-969.84351800000002</v>
      </c>
      <c r="D5" s="20"/>
      <c r="E5" s="20">
        <v>-76.675348</v>
      </c>
      <c r="F5" s="11"/>
      <c r="G5" s="41">
        <v>-969.84351800000002</v>
      </c>
      <c r="H5" s="42"/>
      <c r="I5" s="41">
        <v>-76.675348</v>
      </c>
      <c r="J5" s="71"/>
      <c r="K5" s="18">
        <f>(G5+I5)-(C5+E5)</f>
        <v>0</v>
      </c>
      <c r="L5" s="20">
        <f>K5*27</f>
        <v>0</v>
      </c>
      <c r="M5" s="51">
        <f>$K5*2600</f>
        <v>0</v>
      </c>
      <c r="N5" s="20">
        <f>$K5*630</f>
        <v>0</v>
      </c>
      <c r="P5" s="9"/>
      <c r="Q5" s="9"/>
      <c r="R5" s="11"/>
      <c r="S5" s="9"/>
      <c r="T5" s="9"/>
      <c r="U5" s="9"/>
      <c r="Y5" s="9"/>
      <c r="Z5" s="12"/>
    </row>
    <row r="6" spans="1:26" x14ac:dyDescent="0.3">
      <c r="A6" s="30" t="s">
        <v>120</v>
      </c>
      <c r="B6" s="9"/>
      <c r="C6">
        <v>-967.99655299999995</v>
      </c>
      <c r="D6" s="20"/>
      <c r="E6" s="20"/>
      <c r="F6" s="11"/>
      <c r="G6" s="41"/>
      <c r="H6" s="42"/>
      <c r="I6" s="41"/>
      <c r="J6" s="71"/>
      <c r="K6" s="18"/>
      <c r="L6" s="20"/>
      <c r="M6" s="51"/>
      <c r="N6" s="20"/>
      <c r="P6" s="9"/>
      <c r="Q6" s="9"/>
      <c r="R6" s="11"/>
      <c r="S6" s="9"/>
      <c r="T6" s="9"/>
      <c r="U6" s="9"/>
      <c r="Y6" s="9"/>
      <c r="Z6" s="12"/>
    </row>
    <row r="7" spans="1:26" x14ac:dyDescent="0.3">
      <c r="A7" s="30" t="s">
        <v>121</v>
      </c>
      <c r="B7" s="9"/>
      <c r="C7" s="20"/>
      <c r="D7" s="20"/>
      <c r="E7" s="20"/>
      <c r="F7" s="11"/>
      <c r="G7" s="41"/>
      <c r="H7" s="42"/>
      <c r="I7" s="41"/>
      <c r="J7" s="71"/>
      <c r="K7" s="18"/>
      <c r="L7" s="20"/>
      <c r="M7" s="51"/>
      <c r="N7" s="20"/>
      <c r="P7" s="9"/>
      <c r="Q7" s="9"/>
      <c r="R7" s="11"/>
      <c r="S7" s="9"/>
      <c r="T7" s="9"/>
      <c r="U7" s="9"/>
      <c r="Y7" s="9"/>
      <c r="Z7" s="12"/>
    </row>
    <row r="8" spans="1:26" x14ac:dyDescent="0.3">
      <c r="A8" s="30"/>
      <c r="B8" s="9"/>
      <c r="C8" s="20"/>
      <c r="D8" s="20"/>
      <c r="E8" s="20"/>
      <c r="F8" s="20"/>
      <c r="G8" s="20"/>
      <c r="H8" s="20"/>
      <c r="I8" s="20"/>
      <c r="J8" s="72"/>
      <c r="K8" s="18"/>
      <c r="L8" s="20"/>
      <c r="M8" s="51"/>
      <c r="N8" s="20"/>
      <c r="P8" s="9"/>
      <c r="Q8" s="9"/>
      <c r="R8" s="9"/>
      <c r="S8" s="9"/>
      <c r="T8" s="9"/>
      <c r="U8" s="9"/>
      <c r="Y8" s="9"/>
      <c r="Z8" s="9"/>
    </row>
    <row r="9" spans="1:26" x14ac:dyDescent="0.3">
      <c r="A9" s="30" t="s">
        <v>42</v>
      </c>
      <c r="B9" s="9"/>
      <c r="C9" s="20">
        <v>-969.84351800000002</v>
      </c>
      <c r="D9" s="20"/>
      <c r="E9" s="20">
        <v>-76.675348</v>
      </c>
      <c r="F9" s="20"/>
      <c r="G9" s="31">
        <v>-970.15640699999994</v>
      </c>
      <c r="H9" s="20"/>
      <c r="I9" s="20">
        <v>-76.411471000000006</v>
      </c>
      <c r="J9" s="72"/>
      <c r="K9" s="18">
        <f>(G9+I9)-(C9+E9)</f>
        <v>-4.9011999999720501E-2</v>
      </c>
      <c r="L9" s="20">
        <f t="shared" ref="L9:L47" si="0">K9*27</f>
        <v>-1.3233239999924535</v>
      </c>
      <c r="M9" s="51">
        <f>$K9*2600</f>
        <v>-127.4311999992733</v>
      </c>
      <c r="N9" s="20">
        <f>$K9*630</f>
        <v>-30.877559999823916</v>
      </c>
      <c r="O9" s="1" t="s">
        <v>86</v>
      </c>
      <c r="P9" s="9" t="s">
        <v>77</v>
      </c>
      <c r="Q9" s="9"/>
      <c r="R9" s="9"/>
      <c r="S9" s="31">
        <f>G9+I9</f>
        <v>-1046.5678779999998</v>
      </c>
      <c r="T9" s="20">
        <f>C9+E9</f>
        <v>-1046.5188660000001</v>
      </c>
      <c r="U9" s="20">
        <f>S9-T9</f>
        <v>-4.9011999999720501E-2</v>
      </c>
      <c r="Y9" s="9"/>
      <c r="Z9" s="9"/>
    </row>
    <row r="10" spans="1:26" x14ac:dyDescent="0.3">
      <c r="A10" s="30" t="s">
        <v>120</v>
      </c>
      <c r="B10">
        <v>-967.99655299999995</v>
      </c>
      <c r="C10">
        <v>-968.31177700000001</v>
      </c>
      <c r="D10" s="20"/>
      <c r="E10">
        <v>-76.532949000000002</v>
      </c>
      <c r="F10" s="11"/>
      <c r="G10" s="14">
        <v>-968.31177700000001</v>
      </c>
      <c r="H10" s="42"/>
      <c r="I10">
        <v>-76.276370999999997</v>
      </c>
      <c r="J10" s="71"/>
      <c r="K10" s="18"/>
      <c r="L10" s="20"/>
      <c r="M10" s="51"/>
      <c r="N10" s="20"/>
      <c r="P10" s="9"/>
      <c r="Q10" s="9"/>
      <c r="R10" s="11"/>
      <c r="S10" s="9"/>
      <c r="T10" s="9"/>
      <c r="U10" s="9"/>
      <c r="Y10" s="9"/>
      <c r="Z10" s="12"/>
    </row>
    <row r="11" spans="1:26" x14ac:dyDescent="0.3">
      <c r="A11" s="30" t="s">
        <v>121</v>
      </c>
      <c r="B11" s="9"/>
      <c r="C11" s="20"/>
      <c r="D11" s="20"/>
      <c r="E11" s="20"/>
      <c r="F11" s="11"/>
      <c r="H11" s="42"/>
      <c r="I11" s="41"/>
      <c r="J11" s="71"/>
      <c r="K11" s="18"/>
      <c r="L11" s="20"/>
      <c r="M11" s="51"/>
      <c r="N11" s="20"/>
      <c r="P11" s="9"/>
      <c r="Q11" s="9"/>
      <c r="R11" s="11"/>
      <c r="S11" s="9"/>
      <c r="T11" s="9"/>
      <c r="U11" s="9"/>
      <c r="Y11" s="9"/>
      <c r="Z11" s="12"/>
    </row>
    <row r="12" spans="1:26" x14ac:dyDescent="0.3">
      <c r="A12" s="30"/>
      <c r="B12" s="9"/>
      <c r="C12" s="20"/>
      <c r="D12" s="20"/>
      <c r="E12" s="20"/>
      <c r="F12" s="20"/>
      <c r="G12">
        <v>-968.31177000000002</v>
      </c>
      <c r="H12" s="20"/>
      <c r="I12" s="20"/>
      <c r="J12" s="72"/>
      <c r="K12" s="18"/>
      <c r="L12" s="20"/>
      <c r="M12" s="51"/>
      <c r="N12" s="20"/>
      <c r="P12" s="9"/>
      <c r="Q12" s="9"/>
      <c r="R12" s="9"/>
      <c r="S12" s="9"/>
      <c r="T12" s="9"/>
      <c r="U12" s="9"/>
      <c r="Y12" s="9"/>
      <c r="Z12" s="9"/>
    </row>
    <row r="13" spans="1:26" x14ac:dyDescent="0.3">
      <c r="A13" s="30" t="s">
        <v>43</v>
      </c>
      <c r="B13" s="9"/>
      <c r="C13" s="20">
        <v>-969.84351800000002</v>
      </c>
      <c r="D13" s="20"/>
      <c r="E13" s="20">
        <v>-76.675348</v>
      </c>
      <c r="F13" s="20"/>
      <c r="G13" s="31">
        <v>-970.14410199999998</v>
      </c>
      <c r="H13" s="20"/>
      <c r="I13" s="20">
        <v>-76.411471000000006</v>
      </c>
      <c r="J13" s="72"/>
      <c r="K13" s="18">
        <f>(G13+I13)-(C13+E13)</f>
        <v>-3.6706999999978507E-2</v>
      </c>
      <c r="L13" s="20">
        <f t="shared" si="0"/>
        <v>-0.99108899999941968</v>
      </c>
      <c r="M13" s="51">
        <f>$K13*2600</f>
        <v>-95.438199999944118</v>
      </c>
      <c r="N13" s="20">
        <f>$K13*630</f>
        <v>-23.125409999986459</v>
      </c>
      <c r="O13" s="1" t="s">
        <v>100</v>
      </c>
      <c r="P13" s="9"/>
      <c r="Q13" s="9"/>
      <c r="R13" s="9"/>
      <c r="S13" s="12"/>
      <c r="T13" s="9"/>
      <c r="U13" s="9"/>
      <c r="Y13" s="9"/>
      <c r="Z13" s="9"/>
    </row>
    <row r="14" spans="1:26" x14ac:dyDescent="0.3">
      <c r="A14" s="30" t="s">
        <v>120</v>
      </c>
      <c r="B14" s="9"/>
      <c r="C14">
        <v>-968.28828199999998</v>
      </c>
      <c r="D14" s="20"/>
      <c r="E14" s="20"/>
      <c r="F14" s="11"/>
      <c r="G14">
        <v>-968.28828199999998</v>
      </c>
      <c r="H14" s="42"/>
      <c r="I14" s="41"/>
      <c r="J14" s="71"/>
      <c r="K14" s="18"/>
      <c r="L14" s="20"/>
      <c r="M14" s="51"/>
      <c r="N14" s="20"/>
      <c r="P14" s="9"/>
      <c r="Q14" s="9"/>
      <c r="R14" s="11"/>
      <c r="S14" s="9"/>
      <c r="T14" s="9"/>
      <c r="U14" s="9"/>
      <c r="Y14" s="9"/>
      <c r="Z14" s="12"/>
    </row>
    <row r="15" spans="1:26" x14ac:dyDescent="0.3">
      <c r="A15" s="30" t="s">
        <v>121</v>
      </c>
      <c r="B15" s="9"/>
      <c r="C15" s="20"/>
      <c r="D15" s="20"/>
      <c r="E15" s="20"/>
      <c r="F15" s="11"/>
      <c r="G15" s="41"/>
      <c r="H15" s="42"/>
      <c r="I15" s="41"/>
      <c r="J15" s="71"/>
      <c r="K15" s="18"/>
      <c r="L15" s="20"/>
      <c r="M15" s="51"/>
      <c r="N15" s="20"/>
      <c r="P15" s="9"/>
      <c r="Q15" s="9"/>
      <c r="R15" s="11"/>
      <c r="S15" s="9"/>
      <c r="T15" s="9"/>
      <c r="U15" s="9"/>
      <c r="Y15" s="9"/>
      <c r="Z15" s="12"/>
    </row>
    <row r="16" spans="1:26" x14ac:dyDescent="0.3">
      <c r="A16" s="30"/>
      <c r="B16" s="9"/>
      <c r="C16" s="20"/>
      <c r="D16" s="20"/>
      <c r="E16" s="20"/>
      <c r="F16" s="20"/>
      <c r="G16" s="31"/>
      <c r="H16" s="20"/>
      <c r="I16" s="20"/>
      <c r="J16" s="72"/>
      <c r="K16" s="18"/>
      <c r="L16" s="20"/>
      <c r="M16" s="51"/>
      <c r="N16" s="20"/>
      <c r="P16" s="9"/>
      <c r="Q16" s="9"/>
      <c r="R16" s="9"/>
      <c r="S16" s="12"/>
      <c r="T16" s="9"/>
      <c r="U16" s="9"/>
      <c r="Y16" s="9"/>
      <c r="Z16" s="9"/>
    </row>
    <row r="17" spans="1:26" x14ac:dyDescent="0.3">
      <c r="A17" s="30"/>
      <c r="B17" s="9"/>
      <c r="C17" s="20"/>
      <c r="D17" s="20"/>
      <c r="E17" s="20"/>
      <c r="F17" s="20"/>
      <c r="G17" s="20"/>
      <c r="H17" s="20"/>
      <c r="I17" s="20"/>
      <c r="J17" s="72"/>
      <c r="K17" s="18"/>
      <c r="L17" s="20"/>
      <c r="M17" s="51"/>
      <c r="N17" s="20"/>
      <c r="P17" s="9"/>
      <c r="Q17" s="9"/>
      <c r="R17" s="9"/>
      <c r="S17" s="9"/>
      <c r="T17" s="9"/>
      <c r="U17" s="9"/>
      <c r="Y17" s="9"/>
      <c r="Z17" s="9"/>
    </row>
    <row r="18" spans="1:26" x14ac:dyDescent="0.3">
      <c r="A18" s="30" t="s">
        <v>63</v>
      </c>
      <c r="B18" s="9"/>
      <c r="C18" s="20">
        <v>-969.84351800000002</v>
      </c>
      <c r="D18" s="20"/>
      <c r="E18" s="20">
        <v>-76.675348</v>
      </c>
      <c r="F18" s="20"/>
      <c r="G18" s="31">
        <v>-970.15570300000002</v>
      </c>
      <c r="H18" s="20"/>
      <c r="I18" s="20">
        <v>-76.411471000000006</v>
      </c>
      <c r="J18" s="72"/>
      <c r="K18" s="18">
        <f>(G18+I18)-(C18+E18)</f>
        <v>-4.8307999999906315E-2</v>
      </c>
      <c r="L18" s="20">
        <f>K18*27</f>
        <v>-1.3043159999974705</v>
      </c>
      <c r="M18" s="51">
        <f>$K18*2600</f>
        <v>-125.60079999975642</v>
      </c>
      <c r="N18" s="20">
        <f>$K18*630</f>
        <v>-30.434039999940978</v>
      </c>
      <c r="O18" s="1" t="s">
        <v>76</v>
      </c>
      <c r="P18" s="9"/>
      <c r="Q18" s="9"/>
      <c r="R18" s="9"/>
      <c r="S18" s="9"/>
      <c r="T18" s="9"/>
      <c r="U18" s="9"/>
      <c r="Y18" s="9"/>
      <c r="Z18" s="9"/>
    </row>
    <row r="19" spans="1:26" x14ac:dyDescent="0.3">
      <c r="A19" s="30" t="s">
        <v>120</v>
      </c>
      <c r="B19" s="9"/>
      <c r="C19">
        <v>-968.31177000000002</v>
      </c>
      <c r="D19" s="20"/>
      <c r="E19" s="20"/>
      <c r="F19" s="11"/>
      <c r="G19" s="14">
        <v>-968.31177000000002</v>
      </c>
      <c r="H19" s="42"/>
      <c r="I19" s="41"/>
      <c r="J19" s="71"/>
      <c r="K19" s="18"/>
      <c r="L19" s="20"/>
      <c r="M19" s="51"/>
      <c r="N19" s="20"/>
      <c r="P19" s="9"/>
      <c r="Q19" s="9"/>
      <c r="R19" s="11"/>
      <c r="S19" s="9"/>
      <c r="T19" s="9"/>
      <c r="U19" s="9"/>
      <c r="Y19" s="9"/>
      <c r="Z19" s="12"/>
    </row>
    <row r="20" spans="1:26" ht="15" thickBot="1" x14ac:dyDescent="0.35">
      <c r="A20" s="32" t="s">
        <v>121</v>
      </c>
      <c r="B20" s="33"/>
      <c r="C20" s="34"/>
      <c r="D20" s="34"/>
      <c r="E20" s="34"/>
      <c r="F20" s="77"/>
      <c r="G20" s="78"/>
      <c r="H20" s="79"/>
      <c r="I20" s="78"/>
      <c r="J20" s="80"/>
      <c r="K20" s="19"/>
      <c r="L20" s="20"/>
      <c r="M20" s="51"/>
      <c r="N20" s="20"/>
      <c r="P20" s="9"/>
      <c r="Q20" s="9"/>
      <c r="R20" s="11"/>
      <c r="S20" s="9"/>
      <c r="T20" s="9"/>
      <c r="U20" s="9"/>
      <c r="Y20" s="9"/>
      <c r="Z20" s="12"/>
    </row>
    <row r="22" spans="1:26" x14ac:dyDescent="0.3">
      <c r="A22" s="9"/>
      <c r="B22" s="9"/>
      <c r="C22" s="20"/>
      <c r="D22" s="20"/>
      <c r="E22" s="20"/>
      <c r="F22" s="20"/>
      <c r="G22" s="31"/>
      <c r="H22" s="20"/>
      <c r="I22" s="20"/>
      <c r="J22" s="72"/>
      <c r="K22" s="20"/>
      <c r="L22" s="20"/>
      <c r="M22" s="51"/>
      <c r="N22" s="20"/>
      <c r="P22" s="9"/>
      <c r="Q22" s="9"/>
      <c r="R22" s="9"/>
      <c r="S22" s="9"/>
      <c r="T22" s="9"/>
      <c r="U22" s="9"/>
      <c r="Y22" s="9"/>
      <c r="Z22" s="9"/>
    </row>
    <row r="23" spans="1:26" x14ac:dyDescent="0.3">
      <c r="C23" s="14"/>
      <c r="D23" s="14"/>
      <c r="E23" s="14"/>
      <c r="F23" s="14"/>
      <c r="G23" s="17"/>
      <c r="H23" s="14"/>
      <c r="I23" s="14"/>
      <c r="J23" s="74"/>
      <c r="K23" s="20"/>
      <c r="L23" s="20"/>
      <c r="M23" s="51"/>
      <c r="N23" s="20"/>
      <c r="P23" s="9"/>
      <c r="Q23" s="9"/>
      <c r="R23" s="11"/>
      <c r="S23" s="9"/>
      <c r="T23" s="9"/>
      <c r="U23" s="9"/>
      <c r="Y23" s="9"/>
      <c r="Z23" s="12"/>
    </row>
    <row r="24" spans="1:26" ht="15" thickBot="1" x14ac:dyDescent="0.35">
      <c r="C24" s="14"/>
      <c r="D24" s="14"/>
      <c r="E24" s="14"/>
      <c r="F24" s="14"/>
      <c r="G24" s="14"/>
      <c r="H24" s="14"/>
      <c r="I24" s="14"/>
      <c r="J24" s="74"/>
      <c r="K24" s="14"/>
      <c r="L24" s="20"/>
      <c r="M24" s="51"/>
      <c r="N24" s="20"/>
      <c r="P24" s="9"/>
      <c r="Q24" s="9"/>
      <c r="R24" s="9"/>
      <c r="S24" s="12"/>
      <c r="T24" s="9"/>
      <c r="U24" s="9"/>
      <c r="Y24" s="9"/>
      <c r="Z24" s="9"/>
    </row>
    <row r="25" spans="1:26" ht="15" thickBot="1" x14ac:dyDescent="0.35">
      <c r="A25" s="2" t="s">
        <v>48</v>
      </c>
      <c r="B25" s="3"/>
      <c r="C25" s="21"/>
      <c r="D25" s="21"/>
      <c r="E25" s="21"/>
      <c r="F25" s="21"/>
      <c r="G25" s="21"/>
      <c r="H25" s="21"/>
      <c r="I25" s="21"/>
      <c r="J25" s="75"/>
      <c r="K25" s="22"/>
      <c r="L25" s="20"/>
      <c r="M25" s="51"/>
      <c r="N25" s="20"/>
      <c r="P25" s="9"/>
      <c r="Q25" s="9"/>
      <c r="R25" s="9"/>
      <c r="S25" s="9"/>
      <c r="T25" s="9"/>
      <c r="U25" s="9"/>
      <c r="Y25" s="9"/>
      <c r="Z25" s="9"/>
    </row>
    <row r="26" spans="1:26" ht="15" thickBot="1" x14ac:dyDescent="0.35">
      <c r="A26" s="2" t="s">
        <v>51</v>
      </c>
      <c r="B26" s="3"/>
      <c r="C26" s="21" t="s">
        <v>26</v>
      </c>
      <c r="D26" s="21" t="s">
        <v>27</v>
      </c>
      <c r="E26" s="21" t="s">
        <v>28</v>
      </c>
      <c r="F26" s="23" t="s">
        <v>29</v>
      </c>
      <c r="G26" s="21" t="s">
        <v>30</v>
      </c>
      <c r="H26" s="21" t="s">
        <v>27</v>
      </c>
      <c r="I26" s="21" t="s">
        <v>31</v>
      </c>
      <c r="J26" s="75"/>
      <c r="K26" s="24" t="s">
        <v>50</v>
      </c>
      <c r="L26" s="20"/>
      <c r="M26" s="51"/>
      <c r="N26" s="20"/>
      <c r="O26" s="1" t="s">
        <v>87</v>
      </c>
      <c r="P26" s="9"/>
      <c r="Q26" s="9"/>
      <c r="R26" s="9"/>
      <c r="S26" s="12"/>
      <c r="T26" s="9"/>
      <c r="U26" s="9"/>
      <c r="Y26" s="9"/>
      <c r="Z26" s="9"/>
    </row>
    <row r="27" spans="1:26" x14ac:dyDescent="0.3">
      <c r="A27" s="36"/>
      <c r="B27" s="37"/>
      <c r="C27" s="38"/>
      <c r="D27" s="38"/>
      <c r="E27" s="38"/>
      <c r="F27" s="39"/>
      <c r="G27" s="40"/>
      <c r="H27" s="38"/>
      <c r="I27" s="38"/>
      <c r="J27" s="76"/>
      <c r="K27" s="24"/>
      <c r="L27" s="20"/>
      <c r="M27" s="51"/>
      <c r="N27" s="20"/>
      <c r="O27" s="1" t="s">
        <v>98</v>
      </c>
      <c r="P27" s="9"/>
      <c r="Q27" s="9"/>
      <c r="R27" s="9"/>
      <c r="S27" s="12"/>
      <c r="T27" s="9"/>
      <c r="U27" s="9"/>
      <c r="Y27" s="9"/>
      <c r="Z27" s="9"/>
    </row>
    <row r="28" spans="1:26" x14ac:dyDescent="0.3">
      <c r="A28" s="30" t="s">
        <v>83</v>
      </c>
      <c r="B28" s="9"/>
      <c r="C28" s="20">
        <v>-969.86327800000004</v>
      </c>
      <c r="D28" s="20"/>
      <c r="E28" s="20">
        <v>-76.798567000000006</v>
      </c>
      <c r="F28" s="26"/>
      <c r="G28" s="41">
        <v>-969.86327800000004</v>
      </c>
      <c r="H28" s="41"/>
      <c r="I28" s="41">
        <v>-76.798567000000006</v>
      </c>
      <c r="J28" s="72"/>
      <c r="K28" s="18">
        <f>(G28+I28)-(C28+E28)</f>
        <v>0</v>
      </c>
      <c r="L28" s="20">
        <f t="shared" si="0"/>
        <v>0</v>
      </c>
      <c r="M28" s="51">
        <f>$K28*2600</f>
        <v>0</v>
      </c>
      <c r="N28" s="20">
        <f>$K28*630</f>
        <v>0</v>
      </c>
      <c r="P28" s="9"/>
      <c r="Q28" s="9"/>
      <c r="R28" s="9"/>
      <c r="S28" s="12"/>
      <c r="T28" s="9"/>
      <c r="U28" s="9"/>
      <c r="Y28" s="9"/>
      <c r="Z28" s="9"/>
    </row>
    <row r="29" spans="1:26" x14ac:dyDescent="0.3">
      <c r="A29" s="30" t="s">
        <v>120</v>
      </c>
      <c r="B29" s="9"/>
      <c r="C29" s="20"/>
      <c r="D29" s="20"/>
      <c r="E29" s="20"/>
      <c r="F29" s="11"/>
      <c r="G29" s="41"/>
      <c r="H29" s="42"/>
      <c r="I29" s="41"/>
      <c r="J29" s="71"/>
      <c r="K29" s="18"/>
      <c r="L29" s="20"/>
      <c r="M29" s="51"/>
      <c r="N29" s="20"/>
      <c r="P29" s="9"/>
      <c r="Q29" s="9"/>
      <c r="R29" s="11"/>
      <c r="S29" s="9"/>
      <c r="T29" s="9"/>
      <c r="U29" s="9"/>
      <c r="Y29" s="9"/>
      <c r="Z29" s="12"/>
    </row>
    <row r="30" spans="1:26" x14ac:dyDescent="0.3">
      <c r="A30" s="30" t="s">
        <v>121</v>
      </c>
      <c r="B30" s="9"/>
      <c r="C30" s="20"/>
      <c r="D30" s="20"/>
      <c r="E30" s="20"/>
      <c r="F30" s="11"/>
      <c r="G30" s="41"/>
      <c r="H30" s="42"/>
      <c r="I30" s="41"/>
      <c r="J30" s="71"/>
      <c r="K30" s="18"/>
      <c r="L30" s="20"/>
      <c r="M30" s="51"/>
      <c r="N30" s="20"/>
      <c r="P30" s="9"/>
      <c r="Q30" s="9"/>
      <c r="R30" s="11"/>
      <c r="S30" s="9"/>
      <c r="T30" s="9"/>
      <c r="U30" s="9"/>
      <c r="Y30" s="9"/>
      <c r="Z30" s="12"/>
    </row>
    <row r="31" spans="1:26" x14ac:dyDescent="0.3">
      <c r="A31" s="30"/>
      <c r="B31" s="9"/>
      <c r="C31" s="20"/>
      <c r="D31" s="20"/>
      <c r="E31" s="20"/>
      <c r="F31" s="26"/>
      <c r="G31" s="41"/>
      <c r="H31" s="41"/>
      <c r="I31" s="41"/>
      <c r="J31" s="72"/>
      <c r="K31" s="18"/>
      <c r="L31" s="20"/>
      <c r="M31" s="51"/>
      <c r="N31" s="20"/>
      <c r="P31" s="9"/>
      <c r="Q31" s="9"/>
      <c r="R31" s="9"/>
      <c r="S31" s="12"/>
      <c r="T31" s="9"/>
      <c r="U31" s="9"/>
      <c r="Y31" s="9"/>
      <c r="Z31" s="9"/>
    </row>
    <row r="32" spans="1:26" x14ac:dyDescent="0.3">
      <c r="A32" s="30"/>
      <c r="B32" s="9"/>
      <c r="C32" s="20"/>
      <c r="D32" s="20"/>
      <c r="E32" s="20"/>
      <c r="F32" s="26"/>
      <c r="G32" s="20"/>
      <c r="H32" s="20"/>
      <c r="I32" s="20"/>
      <c r="J32" s="72"/>
      <c r="K32" s="27"/>
      <c r="L32" s="20"/>
      <c r="M32" s="51"/>
      <c r="N32" s="20"/>
      <c r="P32" s="9"/>
      <c r="Q32" s="9"/>
      <c r="R32" s="9"/>
      <c r="S32" s="12"/>
      <c r="T32" s="9"/>
      <c r="U32" s="9"/>
      <c r="Y32" s="9"/>
      <c r="Z32" s="9"/>
    </row>
    <row r="33" spans="1:26" x14ac:dyDescent="0.3">
      <c r="A33" s="30" t="s">
        <v>42</v>
      </c>
      <c r="B33" s="9"/>
      <c r="C33" s="20">
        <v>-969.86327800000004</v>
      </c>
      <c r="D33" s="20"/>
      <c r="E33" s="20">
        <v>-76.798567000000006</v>
      </c>
      <c r="F33" s="20"/>
      <c r="G33" s="31">
        <v>-970.24148500000001</v>
      </c>
      <c r="H33" s="20"/>
      <c r="I33" s="20">
        <v>-76.418996000000007</v>
      </c>
      <c r="J33" s="72"/>
      <c r="K33" s="18">
        <f>(G33+I33)-(C33+E33)</f>
        <v>1.3639999999668362E-3</v>
      </c>
      <c r="L33" s="20">
        <f t="shared" si="0"/>
        <v>3.6827999999104577E-2</v>
      </c>
      <c r="M33" s="51">
        <f>$K33*2600</f>
        <v>3.5463999999137741</v>
      </c>
      <c r="N33" s="20">
        <f>$K33*630</f>
        <v>0.8593199999791068</v>
      </c>
      <c r="P33" s="9" t="s">
        <v>77</v>
      </c>
      <c r="S33" s="14">
        <f>I33+G33</f>
        <v>-1046.6604810000001</v>
      </c>
      <c r="T33" s="14">
        <f>E33+C33</f>
        <v>-1046.6618450000001</v>
      </c>
      <c r="U33" s="14">
        <f>S33-T33</f>
        <v>1.3639999999668362E-3</v>
      </c>
    </row>
    <row r="34" spans="1:26" ht="15" thickBot="1" x14ac:dyDescent="0.35">
      <c r="A34" s="30" t="s">
        <v>392</v>
      </c>
      <c r="B34" s="9"/>
      <c r="C34" s="20"/>
      <c r="D34" s="20"/>
      <c r="E34" s="20"/>
      <c r="F34" s="20"/>
      <c r="G34" s="31"/>
      <c r="H34" s="20"/>
      <c r="I34" s="20"/>
      <c r="J34" s="72"/>
      <c r="K34" s="18"/>
      <c r="L34" s="20"/>
      <c r="M34" s="51"/>
      <c r="N34" s="20"/>
      <c r="P34" s="9"/>
      <c r="S34" s="14"/>
      <c r="T34" s="14"/>
      <c r="U34" s="14"/>
    </row>
    <row r="35" spans="1:26" x14ac:dyDescent="0.3">
      <c r="A35" s="36" t="s">
        <v>120</v>
      </c>
      <c r="B35" s="37"/>
      <c r="C35" s="38"/>
      <c r="D35" s="38"/>
      <c r="E35" s="38"/>
      <c r="F35" s="124"/>
      <c r="G35" s="125"/>
      <c r="H35" s="126"/>
      <c r="I35" s="125"/>
      <c r="J35" s="127"/>
      <c r="K35" s="123"/>
      <c r="L35" s="20"/>
      <c r="M35" s="51"/>
      <c r="N35" s="20"/>
      <c r="P35" s="9"/>
      <c r="Q35" s="9"/>
      <c r="R35" s="11"/>
      <c r="S35" s="9"/>
      <c r="T35" s="9"/>
      <c r="U35" s="9"/>
      <c r="Y35" s="9"/>
      <c r="Z35" s="12"/>
    </row>
    <row r="36" spans="1:26" ht="15" thickBot="1" x14ac:dyDescent="0.35">
      <c r="A36" s="32" t="s">
        <v>392</v>
      </c>
      <c r="B36" s="33"/>
      <c r="C36" s="34"/>
      <c r="D36" s="34"/>
      <c r="E36" s="34"/>
      <c r="F36" s="77"/>
      <c r="G36" s="78"/>
      <c r="H36" s="79"/>
      <c r="I36" s="78"/>
      <c r="J36" s="80"/>
      <c r="K36" s="19"/>
      <c r="L36" s="20"/>
      <c r="M36" s="51"/>
      <c r="N36" s="20"/>
      <c r="P36" s="9"/>
      <c r="Q36" s="9"/>
      <c r="R36" s="11"/>
      <c r="S36" s="9"/>
      <c r="T36" s="9"/>
      <c r="U36" s="9"/>
      <c r="Y36" s="9"/>
      <c r="Z36" s="12"/>
    </row>
    <row r="37" spans="1:26" x14ac:dyDescent="0.3">
      <c r="A37" s="30" t="s">
        <v>121</v>
      </c>
      <c r="B37" s="9"/>
      <c r="C37" s="20"/>
      <c r="D37" s="20"/>
      <c r="E37" s="20"/>
      <c r="F37" s="11"/>
      <c r="G37" s="41"/>
      <c r="H37" s="42"/>
      <c r="I37" s="41"/>
      <c r="J37" s="71"/>
      <c r="K37" s="18"/>
      <c r="L37" s="20"/>
      <c r="M37" s="51"/>
      <c r="N37" s="20"/>
      <c r="P37" s="9"/>
      <c r="Q37" s="9"/>
      <c r="R37" s="11"/>
      <c r="S37" s="9"/>
      <c r="T37" s="9"/>
      <c r="U37" s="9"/>
      <c r="Y37" s="9"/>
      <c r="Z37" s="12"/>
    </row>
    <row r="38" spans="1:26" x14ac:dyDescent="0.3">
      <c r="A38" s="30" t="s">
        <v>392</v>
      </c>
      <c r="B38" s="9"/>
      <c r="C38" s="20"/>
      <c r="D38" s="20"/>
      <c r="E38" s="20"/>
      <c r="F38" s="11"/>
      <c r="G38" s="41"/>
      <c r="H38" s="42"/>
      <c r="I38" s="41"/>
      <c r="J38" s="71"/>
      <c r="K38" s="18"/>
      <c r="L38" s="20"/>
      <c r="M38" s="51"/>
      <c r="N38" s="20"/>
      <c r="P38" s="9"/>
      <c r="Q38" s="9"/>
      <c r="R38" s="11"/>
      <c r="S38" s="9"/>
      <c r="T38" s="9"/>
      <c r="U38" s="9"/>
      <c r="Y38" s="9"/>
      <c r="Z38" s="12"/>
    </row>
    <row r="39" spans="1:26" x14ac:dyDescent="0.3">
      <c r="A39" s="30"/>
      <c r="B39" s="9"/>
      <c r="C39" s="20"/>
      <c r="D39" s="20"/>
      <c r="E39" s="20"/>
      <c r="F39" s="20"/>
      <c r="G39" s="20"/>
      <c r="H39" s="20"/>
      <c r="I39" s="20"/>
      <c r="J39" s="72"/>
      <c r="K39" s="18"/>
      <c r="L39" s="20"/>
      <c r="M39" s="51"/>
      <c r="N39" s="20"/>
    </row>
    <row r="40" spans="1:26" x14ac:dyDescent="0.3">
      <c r="A40" s="30" t="s">
        <v>43</v>
      </c>
      <c r="B40" s="9"/>
      <c r="C40" s="20">
        <v>-969.86327800000004</v>
      </c>
      <c r="D40" s="20"/>
      <c r="E40" s="20">
        <v>-76.798567000000006</v>
      </c>
      <c r="F40" s="20"/>
      <c r="G40" s="31">
        <v>-970.22698300000002</v>
      </c>
      <c r="H40" s="20"/>
      <c r="I40" s="20">
        <v>-76.418996000000007</v>
      </c>
      <c r="J40" s="72"/>
      <c r="K40" s="18">
        <f>(G40+I40)-(C40+E40)</f>
        <v>1.5865999999959968E-2</v>
      </c>
      <c r="L40" s="20">
        <f t="shared" si="0"/>
        <v>0.42838199999891913</v>
      </c>
      <c r="M40" s="51">
        <f>$K40*2600</f>
        <v>41.251599999895916</v>
      </c>
      <c r="N40" s="20">
        <f>$K40*630</f>
        <v>9.9955799999747796</v>
      </c>
      <c r="O40" s="1" t="s">
        <v>96</v>
      </c>
    </row>
    <row r="41" spans="1:26" ht="15" thickBot="1" x14ac:dyDescent="0.35">
      <c r="A41" s="30" t="s">
        <v>392</v>
      </c>
      <c r="B41" s="9"/>
      <c r="C41" s="20"/>
      <c r="D41" s="20"/>
      <c r="E41" s="20"/>
      <c r="F41" s="20"/>
      <c r="G41" s="31"/>
      <c r="H41" s="20"/>
      <c r="I41" s="20"/>
      <c r="J41" s="72"/>
      <c r="K41" s="18"/>
      <c r="L41" s="20"/>
      <c r="M41" s="51"/>
      <c r="N41" s="20"/>
    </row>
    <row r="42" spans="1:26" x14ac:dyDescent="0.3">
      <c r="A42" s="36" t="s">
        <v>120</v>
      </c>
      <c r="B42" s="37"/>
      <c r="C42" s="38"/>
      <c r="D42" s="38"/>
      <c r="E42" s="38"/>
      <c r="F42" s="124"/>
      <c r="G42" s="125"/>
      <c r="H42" s="126"/>
      <c r="I42" s="125"/>
      <c r="J42" s="127"/>
      <c r="K42" s="123"/>
      <c r="L42" s="20"/>
      <c r="M42" s="51"/>
      <c r="N42" s="20"/>
      <c r="P42" s="9"/>
      <c r="Q42" s="9"/>
      <c r="R42" s="11"/>
      <c r="S42" s="9"/>
      <c r="T42" s="9"/>
      <c r="U42" s="9"/>
      <c r="Y42" s="9"/>
      <c r="Z42" s="12"/>
    </row>
    <row r="43" spans="1:26" ht="15" thickBot="1" x14ac:dyDescent="0.35">
      <c r="A43" s="32" t="s">
        <v>392</v>
      </c>
      <c r="B43" s="33"/>
      <c r="C43" s="34"/>
      <c r="D43" s="34"/>
      <c r="E43" s="34"/>
      <c r="F43" s="77"/>
      <c r="G43" s="78"/>
      <c r="H43" s="79"/>
      <c r="I43" s="78"/>
      <c r="J43" s="80"/>
      <c r="K43" s="19"/>
      <c r="L43" s="20"/>
      <c r="M43" s="51"/>
      <c r="N43" s="20"/>
      <c r="P43" s="9"/>
      <c r="Q43" s="9"/>
      <c r="R43" s="11"/>
      <c r="S43" s="9"/>
      <c r="T43" s="9"/>
      <c r="U43" s="9"/>
      <c r="Y43" s="9"/>
      <c r="Z43" s="12"/>
    </row>
    <row r="44" spans="1:26" x14ac:dyDescent="0.3">
      <c r="A44" s="30" t="s">
        <v>121</v>
      </c>
      <c r="B44" s="9"/>
      <c r="C44" s="20"/>
      <c r="D44" s="20"/>
      <c r="E44" s="20"/>
      <c r="F44" s="11"/>
      <c r="G44" s="41"/>
      <c r="H44" s="42"/>
      <c r="I44" s="41"/>
      <c r="J44" s="71"/>
      <c r="K44" s="18"/>
      <c r="L44" s="20"/>
      <c r="M44" s="51"/>
      <c r="N44" s="20"/>
      <c r="P44" s="9"/>
      <c r="Q44" s="9"/>
      <c r="R44" s="11"/>
      <c r="S44" s="9"/>
      <c r="T44" s="9"/>
      <c r="U44" s="9"/>
      <c r="Y44" s="9"/>
      <c r="Z44" s="12"/>
    </row>
    <row r="45" spans="1:26" x14ac:dyDescent="0.3">
      <c r="A45" s="30" t="s">
        <v>392</v>
      </c>
      <c r="B45" s="9"/>
      <c r="C45" s="20"/>
      <c r="D45" s="20"/>
      <c r="E45" s="20"/>
      <c r="F45" s="11"/>
      <c r="G45" s="41"/>
      <c r="H45" s="42"/>
      <c r="I45" s="41"/>
      <c r="J45" s="71"/>
      <c r="K45" s="18"/>
      <c r="L45" s="20"/>
      <c r="M45" s="51"/>
      <c r="N45" s="20"/>
      <c r="P45" s="9"/>
      <c r="Q45" s="9"/>
      <c r="R45" s="11"/>
      <c r="S45" s="9"/>
      <c r="T45" s="9"/>
      <c r="U45" s="9"/>
      <c r="Y45" s="9"/>
      <c r="Z45" s="12"/>
    </row>
    <row r="46" spans="1:26" x14ac:dyDescent="0.3">
      <c r="A46" s="30"/>
      <c r="B46" s="9"/>
      <c r="C46" s="20"/>
      <c r="D46" s="20"/>
      <c r="E46" s="20"/>
      <c r="F46" s="20"/>
      <c r="G46" s="20"/>
      <c r="H46" s="20"/>
      <c r="I46" s="20"/>
      <c r="J46" s="72"/>
      <c r="K46" s="18"/>
      <c r="L46" s="20"/>
      <c r="M46" s="51"/>
      <c r="N46" s="20"/>
    </row>
    <row r="47" spans="1:26" x14ac:dyDescent="0.3">
      <c r="A47" s="30" t="s">
        <v>63</v>
      </c>
      <c r="B47" s="9"/>
      <c r="C47" s="20">
        <v>-969.86327800000004</v>
      </c>
      <c r="D47" s="20"/>
      <c r="E47" s="20">
        <v>-76.798567000000006</v>
      </c>
      <c r="F47" s="20"/>
      <c r="G47" s="81">
        <v>-970.24210700000003</v>
      </c>
      <c r="H47" s="20"/>
      <c r="I47" s="20">
        <v>-76.418996000000007</v>
      </c>
      <c r="J47" s="72"/>
      <c r="K47" s="18">
        <f>(G47+I47)-(C47+E47)</f>
        <v>7.4199999994561949E-4</v>
      </c>
      <c r="L47" s="20">
        <f t="shared" si="0"/>
        <v>2.0033999998531726E-2</v>
      </c>
      <c r="M47" s="51">
        <f>$K47*2600</f>
        <v>1.9291999998586107</v>
      </c>
      <c r="N47" s="20">
        <f>$K47*630</f>
        <v>0.46745999996574028</v>
      </c>
      <c r="O47" s="1" t="s">
        <v>99</v>
      </c>
    </row>
    <row r="48" spans="1:26" ht="15" thickBot="1" x14ac:dyDescent="0.35">
      <c r="A48" s="30" t="s">
        <v>392</v>
      </c>
      <c r="B48" s="9"/>
      <c r="C48" s="20"/>
      <c r="D48" s="20"/>
      <c r="E48" s="20"/>
      <c r="F48" s="20"/>
      <c r="G48" s="81"/>
      <c r="H48" s="20"/>
      <c r="I48" s="20"/>
      <c r="J48" s="72"/>
      <c r="K48" s="18"/>
      <c r="L48" s="20"/>
      <c r="M48" s="51"/>
      <c r="N48" s="20"/>
    </row>
    <row r="49" spans="1:26" x14ac:dyDescent="0.3">
      <c r="A49" s="36" t="s">
        <v>120</v>
      </c>
      <c r="B49" s="37"/>
      <c r="C49" s="38"/>
      <c r="D49" s="38"/>
      <c r="E49" s="38"/>
      <c r="F49" s="124"/>
      <c r="G49" s="125"/>
      <c r="H49" s="126"/>
      <c r="I49" s="125"/>
      <c r="J49" s="127"/>
      <c r="K49" s="123"/>
      <c r="L49" s="20"/>
      <c r="M49" s="51"/>
      <c r="N49" s="20"/>
      <c r="P49" s="9"/>
      <c r="Q49" s="9"/>
      <c r="R49" s="11"/>
      <c r="S49" s="9"/>
      <c r="T49" s="9"/>
      <c r="U49" s="9"/>
      <c r="Y49" s="9"/>
      <c r="Z49" s="12"/>
    </row>
    <row r="50" spans="1:26" ht="15" thickBot="1" x14ac:dyDescent="0.35">
      <c r="A50" s="32" t="s">
        <v>392</v>
      </c>
      <c r="B50" s="33"/>
      <c r="C50" s="34"/>
      <c r="D50" s="34"/>
      <c r="E50" s="34"/>
      <c r="F50" s="77"/>
      <c r="G50" s="78"/>
      <c r="H50" s="79"/>
      <c r="I50" s="78"/>
      <c r="J50" s="80"/>
      <c r="K50" s="19"/>
      <c r="L50" s="20"/>
      <c r="M50" s="51"/>
      <c r="N50" s="20"/>
      <c r="P50" s="9"/>
      <c r="Q50" s="9"/>
      <c r="R50" s="11"/>
      <c r="S50" s="9"/>
      <c r="T50" s="9"/>
      <c r="U50" s="9"/>
      <c r="Y50" s="9"/>
      <c r="Z50" s="12"/>
    </row>
    <row r="51" spans="1:26" x14ac:dyDescent="0.3">
      <c r="A51" s="9" t="s">
        <v>121</v>
      </c>
      <c r="B51" s="9"/>
      <c r="C51" s="20"/>
      <c r="D51" s="20"/>
      <c r="E51" s="20"/>
      <c r="F51" s="11"/>
      <c r="G51" s="41"/>
      <c r="H51" s="42"/>
      <c r="I51" s="41"/>
      <c r="J51" s="71"/>
      <c r="K51" s="18"/>
      <c r="L51" s="20"/>
      <c r="M51" s="51"/>
      <c r="N51" s="20"/>
      <c r="P51" s="9"/>
      <c r="Q51" s="9"/>
      <c r="R51" s="11"/>
      <c r="S51" s="9"/>
      <c r="T51" s="9"/>
      <c r="U51" s="9"/>
      <c r="Y51" s="9"/>
      <c r="Z51" s="12"/>
    </row>
    <row r="52" spans="1:26" ht="15" thickBot="1" x14ac:dyDescent="0.35">
      <c r="A52" s="32" t="s">
        <v>392</v>
      </c>
      <c r="B52" s="33"/>
      <c r="C52" s="34"/>
      <c r="D52" s="34"/>
      <c r="E52" s="34"/>
      <c r="F52" s="77"/>
      <c r="G52" s="78"/>
      <c r="H52" s="79"/>
      <c r="I52" s="78"/>
      <c r="J52" s="80"/>
      <c r="K52" s="19"/>
      <c r="L52" s="20"/>
      <c r="M52" s="51"/>
      <c r="N52" s="20"/>
      <c r="P52" s="9"/>
      <c r="Q52" s="9"/>
      <c r="R52" s="11"/>
      <c r="S52" s="9"/>
      <c r="T52" s="9"/>
      <c r="U52" s="9"/>
      <c r="Y52" s="9"/>
      <c r="Z52" s="12"/>
    </row>
    <row r="53" spans="1:26" x14ac:dyDescent="0.3">
      <c r="O53" s="1" t="s">
        <v>110</v>
      </c>
    </row>
    <row r="54" spans="1:26" x14ac:dyDescent="0.3">
      <c r="C54" s="15"/>
      <c r="G54" s="25">
        <v>-970.15570000000002</v>
      </c>
      <c r="I54" t="s">
        <v>78</v>
      </c>
      <c r="O54" s="1" t="s">
        <v>111</v>
      </c>
    </row>
    <row r="57" spans="1:26" x14ac:dyDescent="0.3">
      <c r="E57" t="s">
        <v>88</v>
      </c>
    </row>
    <row r="59" spans="1:26" ht="15" thickBot="1" x14ac:dyDescent="0.35">
      <c r="B59" t="s">
        <v>106</v>
      </c>
      <c r="C59" t="s">
        <v>107</v>
      </c>
      <c r="K59" t="s">
        <v>102</v>
      </c>
    </row>
    <row r="60" spans="1:26" ht="15" thickBot="1" x14ac:dyDescent="0.35">
      <c r="B60" s="58" t="s">
        <v>106</v>
      </c>
      <c r="C60" s="21" t="s">
        <v>26</v>
      </c>
      <c r="D60" s="21" t="s">
        <v>27</v>
      </c>
      <c r="E60" s="21" t="s">
        <v>28</v>
      </c>
      <c r="F60" s="23" t="s">
        <v>29</v>
      </c>
      <c r="G60" s="21" t="s">
        <v>30</v>
      </c>
      <c r="H60" s="21" t="s">
        <v>27</v>
      </c>
      <c r="I60" s="21" t="s">
        <v>31</v>
      </c>
      <c r="J60" s="70"/>
      <c r="K60" s="3" t="s">
        <v>103</v>
      </c>
      <c r="L60" s="3" t="s">
        <v>93</v>
      </c>
      <c r="M60" s="59" t="s">
        <v>104</v>
      </c>
      <c r="N60" s="7" t="s">
        <v>105</v>
      </c>
    </row>
    <row r="61" spans="1:26" x14ac:dyDescent="0.3">
      <c r="A61" t="s">
        <v>108</v>
      </c>
      <c r="B61" s="55" t="s">
        <v>42</v>
      </c>
      <c r="C61" s="38">
        <v>-969.84351800000002</v>
      </c>
      <c r="D61" s="38"/>
      <c r="E61" s="38">
        <v>-76.675348</v>
      </c>
      <c r="F61" s="38"/>
      <c r="G61" s="52">
        <v>-970.15640699999994</v>
      </c>
      <c r="H61" s="38"/>
      <c r="I61" s="38">
        <v>-76.411471000000006</v>
      </c>
      <c r="J61" s="76"/>
      <c r="K61" s="38">
        <f t="shared" ref="K61:K66" si="1">(I61+G61)-(E61+C61)</f>
        <v>-4.9011999999720501E-2</v>
      </c>
      <c r="L61" s="38">
        <f t="shared" ref="L61:L66" si="2">K61*27</f>
        <v>-1.3233239999924535</v>
      </c>
      <c r="M61" s="53">
        <f t="shared" ref="M61:M66" si="3">$K61*2600</f>
        <v>-127.4311999992733</v>
      </c>
      <c r="N61" s="46">
        <f t="shared" ref="N61:N66" si="4">$K61*630</f>
        <v>-30.877559999823916</v>
      </c>
      <c r="O61" s="62"/>
    </row>
    <row r="62" spans="1:26" ht="15" thickBot="1" x14ac:dyDescent="0.35">
      <c r="A62" t="s">
        <v>109</v>
      </c>
      <c r="B62" s="57"/>
      <c r="C62" s="34">
        <v>-969.86327800000004</v>
      </c>
      <c r="D62" s="34"/>
      <c r="E62" s="34">
        <v>-76.798567000000006</v>
      </c>
      <c r="F62" s="34"/>
      <c r="G62" s="35">
        <v>-970.24148500000001</v>
      </c>
      <c r="H62" s="34"/>
      <c r="I62" s="34">
        <v>-76.418996000000007</v>
      </c>
      <c r="J62" s="73"/>
      <c r="K62" s="34">
        <f t="shared" si="1"/>
        <v>1.3639999999668362E-3</v>
      </c>
      <c r="L62" s="34">
        <f t="shared" si="2"/>
        <v>3.6827999999104577E-2</v>
      </c>
      <c r="M62" s="54">
        <f t="shared" si="3"/>
        <v>3.5463999999137741</v>
      </c>
      <c r="N62" s="48">
        <f t="shared" si="4"/>
        <v>0.8593199999791068</v>
      </c>
      <c r="O62" s="64"/>
    </row>
    <row r="63" spans="1:26" x14ac:dyDescent="0.3">
      <c r="B63" s="55" t="s">
        <v>43</v>
      </c>
      <c r="C63" s="38">
        <v>-969.84351800000002</v>
      </c>
      <c r="D63" s="38"/>
      <c r="E63" s="38">
        <v>-76.675348</v>
      </c>
      <c r="F63" s="38"/>
      <c r="G63" s="52">
        <v>-970.14410199999998</v>
      </c>
      <c r="H63" s="38"/>
      <c r="I63" s="38">
        <v>-76.411471000000006</v>
      </c>
      <c r="J63" s="76"/>
      <c r="K63" s="38">
        <f t="shared" si="1"/>
        <v>-3.6706999999978507E-2</v>
      </c>
      <c r="L63" s="38">
        <f t="shared" si="2"/>
        <v>-0.99108899999941968</v>
      </c>
      <c r="M63" s="53">
        <f t="shared" si="3"/>
        <v>-95.438199999944118</v>
      </c>
      <c r="N63" s="46">
        <f t="shared" si="4"/>
        <v>-23.125409999986459</v>
      </c>
      <c r="O63" s="61"/>
    </row>
    <row r="64" spans="1:26" ht="15" thickBot="1" x14ac:dyDescent="0.35">
      <c r="B64" s="57"/>
      <c r="C64" s="34">
        <v>-969.86327800000004</v>
      </c>
      <c r="D64" s="34"/>
      <c r="E64" s="34">
        <v>-76.798567000000006</v>
      </c>
      <c r="F64" s="34"/>
      <c r="G64" s="35">
        <v>-970.22698300000002</v>
      </c>
      <c r="H64" s="34"/>
      <c r="I64" s="34">
        <v>-76.418996000000007</v>
      </c>
      <c r="J64" s="73"/>
      <c r="K64" s="34">
        <f t="shared" si="1"/>
        <v>1.5865999999959968E-2</v>
      </c>
      <c r="L64" s="34">
        <f t="shared" si="2"/>
        <v>0.42838199999891913</v>
      </c>
      <c r="M64" s="54">
        <f t="shared" si="3"/>
        <v>41.251599999895916</v>
      </c>
      <c r="N64" s="48">
        <f t="shared" si="4"/>
        <v>9.9955799999747796</v>
      </c>
      <c r="O64" s="65"/>
    </row>
    <row r="65" spans="1:15" x14ac:dyDescent="0.3">
      <c r="B65" s="56" t="s">
        <v>63</v>
      </c>
      <c r="C65" s="20">
        <v>-969.84351800000002</v>
      </c>
      <c r="D65" s="20"/>
      <c r="E65" s="20">
        <v>-76.675348</v>
      </c>
      <c r="F65" s="20"/>
      <c r="G65" s="31">
        <v>-970.15570300000002</v>
      </c>
      <c r="H65" s="20"/>
      <c r="I65" s="20">
        <v>-76.411471000000006</v>
      </c>
      <c r="J65" s="72"/>
      <c r="K65" s="20">
        <f t="shared" si="1"/>
        <v>-4.8307999999906315E-2</v>
      </c>
      <c r="L65" s="20">
        <f t="shared" si="2"/>
        <v>-1.3043159999974705</v>
      </c>
      <c r="M65" s="51">
        <f t="shared" si="3"/>
        <v>-125.60079999975642</v>
      </c>
      <c r="N65" s="47">
        <f t="shared" si="4"/>
        <v>-30.434039999940978</v>
      </c>
      <c r="O65" s="60"/>
    </row>
    <row r="66" spans="1:15" ht="15" thickBot="1" x14ac:dyDescent="0.35">
      <c r="A66" s="9"/>
      <c r="B66" s="57"/>
      <c r="C66" s="34">
        <v>-969.86327800000004</v>
      </c>
      <c r="D66" s="34"/>
      <c r="E66" s="34">
        <v>-76.798567000000006</v>
      </c>
      <c r="F66" s="34"/>
      <c r="G66" s="35">
        <v>-970.24210700000003</v>
      </c>
      <c r="H66" s="34"/>
      <c r="I66" s="34">
        <v>-76.418996000000007</v>
      </c>
      <c r="J66" s="73"/>
      <c r="K66" s="34">
        <f t="shared" si="1"/>
        <v>7.4199999994561949E-4</v>
      </c>
      <c r="L66" s="34">
        <f t="shared" si="2"/>
        <v>2.0033999998531726E-2</v>
      </c>
      <c r="M66" s="54">
        <f t="shared" si="3"/>
        <v>1.9291999998586107</v>
      </c>
      <c r="N66" s="48">
        <f t="shared" si="4"/>
        <v>0.46745999996574028</v>
      </c>
      <c r="O66" s="63"/>
    </row>
    <row r="67" spans="1:15" x14ac:dyDescent="0.3">
      <c r="A67" s="67" t="s">
        <v>112</v>
      </c>
      <c r="B67" s="68" t="s">
        <v>113</v>
      </c>
      <c r="E67" s="66">
        <v>-76.687405999999996</v>
      </c>
    </row>
    <row r="68" spans="1:15" x14ac:dyDescent="0.3">
      <c r="A68" t="s">
        <v>114</v>
      </c>
      <c r="E68" s="14">
        <f>E67-E61</f>
        <v>-1.2057999999996127E-2</v>
      </c>
      <c r="F68" t="s">
        <v>103</v>
      </c>
    </row>
    <row r="69" spans="1:15" x14ac:dyDescent="0.3">
      <c r="E69">
        <f>E68*2600</f>
        <v>-31.350799999989931</v>
      </c>
      <c r="F69" t="s">
        <v>104</v>
      </c>
    </row>
    <row r="70" spans="1:15" x14ac:dyDescent="0.3">
      <c r="E70" t="s">
        <v>115</v>
      </c>
    </row>
    <row r="72" spans="1:15" ht="15" thickBot="1" x14ac:dyDescent="0.35"/>
    <row r="73" spans="1:15" x14ac:dyDescent="0.3">
      <c r="E73" s="9"/>
      <c r="F73" s="9"/>
      <c r="G73" s="9"/>
      <c r="H73" s="9"/>
      <c r="I73" s="83" t="s">
        <v>106</v>
      </c>
      <c r="J73" s="84"/>
      <c r="K73" s="85" t="s">
        <v>117</v>
      </c>
      <c r="L73" s="86" t="s">
        <v>102</v>
      </c>
      <c r="M73" s="86"/>
      <c r="N73" s="84"/>
    </row>
    <row r="74" spans="1:15" ht="15" thickBot="1" x14ac:dyDescent="0.35">
      <c r="E74" s="9"/>
      <c r="F74" s="9"/>
      <c r="G74" s="20"/>
      <c r="H74" s="9"/>
      <c r="I74" s="87"/>
      <c r="J74" s="88"/>
      <c r="K74" s="89"/>
      <c r="L74" s="90" t="s">
        <v>103</v>
      </c>
      <c r="M74" s="90" t="s">
        <v>93</v>
      </c>
      <c r="N74" s="89" t="s">
        <v>104</v>
      </c>
    </row>
    <row r="75" spans="1:15" x14ac:dyDescent="0.3">
      <c r="E75" s="9"/>
      <c r="F75" s="9"/>
      <c r="G75" s="31"/>
      <c r="H75" s="9"/>
      <c r="I75" s="91" t="s">
        <v>42</v>
      </c>
      <c r="J75" s="91" t="s">
        <v>116</v>
      </c>
      <c r="K75" s="92">
        <v>-970.15640699999994</v>
      </c>
      <c r="L75" s="93">
        <v>-4.9011999999720501E-2</v>
      </c>
      <c r="M75" s="93">
        <v>-1.3233239999924535</v>
      </c>
      <c r="N75" s="85">
        <v>-127.4311999992733</v>
      </c>
    </row>
    <row r="76" spans="1:15" ht="15" thickBot="1" x14ac:dyDescent="0.35">
      <c r="E76" s="9"/>
      <c r="F76" s="9"/>
      <c r="G76" s="31"/>
      <c r="H76" s="9"/>
      <c r="I76" s="94"/>
      <c r="J76" s="94" t="s">
        <v>48</v>
      </c>
      <c r="K76" s="95">
        <v>-970.24148500000001</v>
      </c>
      <c r="L76" s="96">
        <v>1.3639999999668362E-3</v>
      </c>
      <c r="M76" s="96">
        <v>3.6827999999104577E-2</v>
      </c>
      <c r="N76" s="97">
        <v>3.5463999999137741</v>
      </c>
    </row>
    <row r="77" spans="1:15" x14ac:dyDescent="0.3">
      <c r="E77" s="9"/>
      <c r="F77" s="9"/>
      <c r="G77" s="31"/>
      <c r="H77" s="9"/>
      <c r="I77" s="91" t="s">
        <v>43</v>
      </c>
      <c r="J77" s="91" t="s">
        <v>116</v>
      </c>
      <c r="K77" s="98">
        <v>-970.14410199999998</v>
      </c>
      <c r="L77" s="99">
        <v>-3.6706999999978507E-2</v>
      </c>
      <c r="M77" s="99">
        <v>-0.99108899999941968</v>
      </c>
      <c r="N77" s="100">
        <v>-95.438199999944118</v>
      </c>
    </row>
    <row r="78" spans="1:15" ht="15" thickBot="1" x14ac:dyDescent="0.35">
      <c r="E78" s="9"/>
      <c r="F78" s="9"/>
      <c r="G78" s="31"/>
      <c r="H78" s="9"/>
      <c r="I78" s="94"/>
      <c r="J78" s="94" t="s">
        <v>48</v>
      </c>
      <c r="K78" s="95">
        <v>-970.22698300000002</v>
      </c>
      <c r="L78" s="96">
        <v>1.5865999999959968E-2</v>
      </c>
      <c r="M78" s="96">
        <v>0.42838199999891913</v>
      </c>
      <c r="N78" s="97">
        <v>41.251599999895916</v>
      </c>
    </row>
    <row r="79" spans="1:15" x14ac:dyDescent="0.3">
      <c r="E79" s="9"/>
      <c r="F79" s="9"/>
      <c r="G79" s="31"/>
      <c r="H79" s="9"/>
      <c r="I79" s="91" t="s">
        <v>63</v>
      </c>
      <c r="J79" s="91" t="s">
        <v>116</v>
      </c>
      <c r="K79" s="98">
        <v>-970.15570300000002</v>
      </c>
      <c r="L79" s="99">
        <v>-4.8307999999906315E-2</v>
      </c>
      <c r="M79" s="99">
        <v>-1.3043159999974705</v>
      </c>
      <c r="N79" s="100">
        <v>-125.60079999975642</v>
      </c>
    </row>
    <row r="80" spans="1:15" ht="15" thickBot="1" x14ac:dyDescent="0.35">
      <c r="E80" s="9"/>
      <c r="F80" s="9"/>
      <c r="G80" s="31"/>
      <c r="H80" s="9"/>
      <c r="I80" s="94"/>
      <c r="J80" s="94" t="s">
        <v>48</v>
      </c>
      <c r="K80" s="95">
        <v>-970.24210700000003</v>
      </c>
      <c r="L80" s="96">
        <v>7.4199999994561949E-4</v>
      </c>
      <c r="M80" s="96">
        <v>2.0033999998531726E-2</v>
      </c>
      <c r="N80" s="97">
        <v>1.9291999998586107</v>
      </c>
    </row>
    <row r="82" spans="1:24" ht="15" thickBot="1" x14ac:dyDescent="0.35"/>
    <row r="83" spans="1:24" ht="15" thickBot="1" x14ac:dyDescent="0.35">
      <c r="B83" t="s">
        <v>247</v>
      </c>
      <c r="O83" s="1" t="s">
        <v>251</v>
      </c>
      <c r="P83" t="s">
        <v>250</v>
      </c>
      <c r="Q83" t="s">
        <v>252</v>
      </c>
      <c r="U83" t="s">
        <v>254</v>
      </c>
      <c r="V83" s="3" t="s">
        <v>93</v>
      </c>
      <c r="W83" s="59" t="s">
        <v>104</v>
      </c>
      <c r="X83" s="7" t="s">
        <v>105</v>
      </c>
    </row>
    <row r="84" spans="1:24" ht="15" thickBot="1" x14ac:dyDescent="0.35">
      <c r="B84" s="58" t="s">
        <v>106</v>
      </c>
      <c r="C84" s="21" t="s">
        <v>26</v>
      </c>
      <c r="D84" s="21" t="s">
        <v>27</v>
      </c>
      <c r="E84" s="21" t="s">
        <v>28</v>
      </c>
      <c r="F84" s="23" t="s">
        <v>29</v>
      </c>
      <c r="G84" s="21" t="s">
        <v>30</v>
      </c>
      <c r="H84" s="21" t="s">
        <v>27</v>
      </c>
      <c r="I84" s="21" t="s">
        <v>31</v>
      </c>
      <c r="J84" s="70"/>
      <c r="K84" s="3" t="s">
        <v>103</v>
      </c>
      <c r="L84" s="3" t="s">
        <v>93</v>
      </c>
      <c r="M84" s="59" t="s">
        <v>104</v>
      </c>
      <c r="N84" s="7" t="s">
        <v>105</v>
      </c>
      <c r="O84" s="1">
        <v>-970.35564299999999</v>
      </c>
      <c r="P84">
        <v>-970.35732599999994</v>
      </c>
      <c r="Q84">
        <v>-970.35523000000001</v>
      </c>
      <c r="U84">
        <f>Q84-O84</f>
        <v>4.1299999998045678E-4</v>
      </c>
      <c r="V84" s="105">
        <f>U84*27</f>
        <v>1.1150999999472333E-2</v>
      </c>
      <c r="W84" s="106">
        <f>U84*2600</f>
        <v>1.0737999999491876</v>
      </c>
      <c r="X84" s="107">
        <f>U84*630</f>
        <v>0.26018999998768777</v>
      </c>
    </row>
    <row r="85" spans="1:24" ht="15" thickBot="1" x14ac:dyDescent="0.35">
      <c r="B85" s="55" t="s">
        <v>42</v>
      </c>
      <c r="C85" s="38">
        <v>-969.84351800000002</v>
      </c>
      <c r="D85" s="38"/>
      <c r="E85" s="38">
        <v>-76.675348</v>
      </c>
      <c r="F85" s="38"/>
      <c r="G85" s="52">
        <v>-970.15640699999994</v>
      </c>
      <c r="H85" s="38"/>
      <c r="I85" s="38">
        <v>-76.411471000000006</v>
      </c>
      <c r="J85" s="76"/>
      <c r="K85" s="105">
        <f t="shared" ref="K85:K94" si="5">(I85+G85)-(E85+C85)</f>
        <v>-4.9011999999720501E-2</v>
      </c>
      <c r="L85" s="105">
        <f t="shared" ref="L85:L94" si="6">K85*27</f>
        <v>-1.3233239999924535</v>
      </c>
      <c r="M85" s="106">
        <f t="shared" ref="M85:M100" si="7">$K85*2600</f>
        <v>-127.4311999992733</v>
      </c>
      <c r="N85" s="107">
        <f t="shared" ref="N85:N100" si="8">$K85*630</f>
        <v>-30.877559999823916</v>
      </c>
      <c r="O85" s="1" t="s">
        <v>256</v>
      </c>
      <c r="V85" s="108"/>
      <c r="W85" s="109"/>
      <c r="X85" s="110"/>
    </row>
    <row r="86" spans="1:24" ht="15" thickBot="1" x14ac:dyDescent="0.35">
      <c r="B86" s="57" t="s">
        <v>257</v>
      </c>
      <c r="C86" s="34">
        <v>-969.86327800000004</v>
      </c>
      <c r="D86" s="34"/>
      <c r="E86" s="34">
        <v>-76.798567000000006</v>
      </c>
      <c r="F86" s="34"/>
      <c r="G86" s="35">
        <v>-970.24148500000001</v>
      </c>
      <c r="H86" s="34"/>
      <c r="I86" s="34">
        <v>-76.418996000000007</v>
      </c>
      <c r="J86" s="73"/>
      <c r="K86" s="108">
        <f t="shared" si="5"/>
        <v>1.3639999999668362E-3</v>
      </c>
      <c r="L86" s="108">
        <f t="shared" si="6"/>
        <v>3.6827999999104577E-2</v>
      </c>
      <c r="M86" s="109">
        <f t="shared" si="7"/>
        <v>3.5463999999137741</v>
      </c>
      <c r="N86" s="110">
        <f t="shared" si="8"/>
        <v>0.8593199999791068</v>
      </c>
      <c r="R86" t="s">
        <v>255</v>
      </c>
      <c r="U86" t="s">
        <v>253</v>
      </c>
    </row>
    <row r="87" spans="1:24" x14ac:dyDescent="0.3">
      <c r="A87" t="s">
        <v>248</v>
      </c>
      <c r="B87" s="56" t="s">
        <v>121</v>
      </c>
      <c r="C87">
        <v>-970.14002100000005</v>
      </c>
      <c r="D87" s="20"/>
      <c r="E87">
        <v>-76.696949000000004</v>
      </c>
      <c r="F87" s="20"/>
      <c r="G87">
        <v>-970.45077500000002</v>
      </c>
      <c r="H87" s="20"/>
      <c r="I87">
        <v>-76.436966999999996</v>
      </c>
      <c r="J87" s="72"/>
      <c r="K87" s="105">
        <f t="shared" si="5"/>
        <v>-5.0772000000051776E-2</v>
      </c>
      <c r="L87" s="105">
        <f t="shared" si="6"/>
        <v>-1.3708440000013979</v>
      </c>
      <c r="M87" s="106">
        <f t="shared" si="7"/>
        <v>-132.00720000013462</v>
      </c>
      <c r="N87" s="107">
        <f t="shared" si="8"/>
        <v>-31.986360000032619</v>
      </c>
      <c r="U87">
        <f>P84-O84</f>
        <v>-1.6829999999572465E-3</v>
      </c>
      <c r="V87" s="105">
        <f>U87*27</f>
        <v>-4.5440999998845655E-2</v>
      </c>
      <c r="W87" s="106">
        <f>U87*2600</f>
        <v>-4.3757999998888408</v>
      </c>
      <c r="X87" s="107">
        <f>U87*630</f>
        <v>-1.0602899999730653</v>
      </c>
    </row>
    <row r="88" spans="1:24" ht="15" thickBot="1" x14ac:dyDescent="0.35">
      <c r="A88" t="s">
        <v>249</v>
      </c>
      <c r="B88" s="56"/>
      <c r="C88">
        <v>-970.15772200000004</v>
      </c>
      <c r="D88" s="20"/>
      <c r="E88">
        <v>-76.824034999999995</v>
      </c>
      <c r="F88" s="20"/>
      <c r="G88" s="15">
        <v>-970.53783399999998</v>
      </c>
      <c r="H88" s="20"/>
      <c r="I88">
        <v>-76.444311999999996</v>
      </c>
      <c r="J88" s="72"/>
      <c r="K88" s="108">
        <f t="shared" si="5"/>
        <v>-3.8900000004105095E-4</v>
      </c>
      <c r="L88" s="108">
        <f t="shared" si="6"/>
        <v>-1.0503000001108376E-2</v>
      </c>
      <c r="M88" s="109">
        <f t="shared" si="7"/>
        <v>-1.0114000001067325</v>
      </c>
      <c r="N88" s="110">
        <f t="shared" si="8"/>
        <v>-0.2450700000258621</v>
      </c>
    </row>
    <row r="89" spans="1:24" x14ac:dyDescent="0.3">
      <c r="B89" s="56"/>
      <c r="C89" s="20"/>
      <c r="D89" s="20"/>
      <c r="E89" s="20"/>
      <c r="F89" s="20"/>
      <c r="G89" s="31"/>
      <c r="H89" s="20"/>
      <c r="I89" s="20"/>
      <c r="J89" s="72"/>
      <c r="K89" s="111"/>
      <c r="L89" s="111"/>
      <c r="M89" s="112"/>
      <c r="N89" s="113"/>
    </row>
    <row r="90" spans="1:24" ht="15" thickBot="1" x14ac:dyDescent="0.35">
      <c r="B90" s="56"/>
      <c r="C90" s="20"/>
      <c r="D90" s="20"/>
      <c r="E90" s="20"/>
      <c r="F90" s="20"/>
      <c r="G90" s="31"/>
      <c r="H90" s="20"/>
      <c r="I90" s="20"/>
      <c r="J90" s="72"/>
      <c r="K90" s="111"/>
      <c r="L90" s="111"/>
      <c r="M90" s="112"/>
      <c r="N90" s="113"/>
    </row>
    <row r="91" spans="1:24" x14ac:dyDescent="0.3">
      <c r="B91" s="55" t="s">
        <v>43</v>
      </c>
      <c r="C91" s="38">
        <v>-969.84351800000002</v>
      </c>
      <c r="D91" s="38"/>
      <c r="E91" s="38">
        <v>-76.675348</v>
      </c>
      <c r="F91" s="38"/>
      <c r="G91" s="52">
        <v>-970.14410199999998</v>
      </c>
      <c r="H91" s="38"/>
      <c r="I91" s="38">
        <v>-76.411471000000006</v>
      </c>
      <c r="J91" s="76"/>
      <c r="K91" s="105">
        <f t="shared" si="5"/>
        <v>-3.6706999999978507E-2</v>
      </c>
      <c r="L91" s="105">
        <f t="shared" si="6"/>
        <v>-0.99108899999941968</v>
      </c>
      <c r="M91" s="106">
        <f t="shared" si="7"/>
        <v>-95.438199999944118</v>
      </c>
      <c r="N91" s="107">
        <f t="shared" si="8"/>
        <v>-23.125409999986459</v>
      </c>
    </row>
    <row r="92" spans="1:24" ht="15" thickBot="1" x14ac:dyDescent="0.35">
      <c r="B92" s="57" t="s">
        <v>257</v>
      </c>
      <c r="C92" s="34">
        <v>-969.86327800000004</v>
      </c>
      <c r="D92" s="34"/>
      <c r="E92" s="34">
        <v>-76.798567000000006</v>
      </c>
      <c r="F92" s="34"/>
      <c r="G92" s="35">
        <v>-970.22698300000002</v>
      </c>
      <c r="H92" s="34"/>
      <c r="I92" s="34">
        <v>-76.418996000000007</v>
      </c>
      <c r="J92" s="73"/>
      <c r="K92" s="108">
        <f t="shared" si="5"/>
        <v>1.5865999999959968E-2</v>
      </c>
      <c r="L92" s="108">
        <f t="shared" si="6"/>
        <v>0.42838199999891913</v>
      </c>
      <c r="M92" s="109">
        <f t="shared" si="7"/>
        <v>41.251599999895916</v>
      </c>
      <c r="N92" s="110">
        <f t="shared" si="8"/>
        <v>9.9955799999747796</v>
      </c>
    </row>
    <row r="93" spans="1:24" x14ac:dyDescent="0.3">
      <c r="A93" t="s">
        <v>248</v>
      </c>
      <c r="B93" s="56" t="s">
        <v>121</v>
      </c>
      <c r="C93">
        <v>-970.14002100000005</v>
      </c>
      <c r="D93" s="20"/>
      <c r="E93">
        <v>-76.696949000000004</v>
      </c>
      <c r="F93" s="20"/>
      <c r="G93">
        <v>-970.43819800000006</v>
      </c>
      <c r="H93" s="20"/>
      <c r="I93">
        <v>-76.436966999999996</v>
      </c>
      <c r="J93" s="72"/>
      <c r="K93" s="105">
        <f t="shared" si="5"/>
        <v>-3.819500000008702E-2</v>
      </c>
      <c r="L93" s="105">
        <f t="shared" si="6"/>
        <v>-1.0312650000023496</v>
      </c>
      <c r="M93" s="106">
        <f t="shared" si="7"/>
        <v>-99.307000000226253</v>
      </c>
      <c r="N93" s="107">
        <f t="shared" si="8"/>
        <v>-24.062850000054823</v>
      </c>
    </row>
    <row r="94" spans="1:24" ht="15" thickBot="1" x14ac:dyDescent="0.35">
      <c r="A94" t="s">
        <v>249</v>
      </c>
      <c r="B94" s="56"/>
      <c r="C94">
        <v>-970.15772200000004</v>
      </c>
      <c r="D94" s="20"/>
      <c r="E94">
        <v>-76.824034999999995</v>
      </c>
      <c r="F94" s="20"/>
      <c r="G94">
        <v>-970.52695700000004</v>
      </c>
      <c r="H94" s="20"/>
      <c r="I94">
        <v>-76.444311999999996</v>
      </c>
      <c r="J94" s="72"/>
      <c r="K94" s="108">
        <f t="shared" si="5"/>
        <v>1.0487999999895692E-2</v>
      </c>
      <c r="L94" s="108">
        <f t="shared" si="6"/>
        <v>0.28317599999718368</v>
      </c>
      <c r="M94" s="109">
        <f t="shared" si="7"/>
        <v>27.268799999728799</v>
      </c>
      <c r="N94" s="110">
        <f t="shared" si="8"/>
        <v>6.6074399999342859</v>
      </c>
    </row>
    <row r="95" spans="1:24" x14ac:dyDescent="0.3">
      <c r="B95" s="56"/>
      <c r="C95" s="20"/>
      <c r="D95" s="20"/>
      <c r="E95" s="20"/>
      <c r="F95" s="20"/>
      <c r="G95" s="31"/>
      <c r="H95" s="20"/>
      <c r="I95" s="20"/>
      <c r="J95" s="72"/>
      <c r="K95" s="111"/>
      <c r="L95" s="111"/>
      <c r="M95" s="112"/>
      <c r="N95" s="113"/>
    </row>
    <row r="96" spans="1:24" x14ac:dyDescent="0.3">
      <c r="B96" s="56"/>
      <c r="C96" s="20"/>
      <c r="D96" s="20"/>
      <c r="E96" s="20"/>
      <c r="F96" s="20"/>
      <c r="G96" s="31"/>
      <c r="H96" s="20"/>
      <c r="I96" s="20"/>
      <c r="J96" s="72"/>
      <c r="K96" s="111"/>
      <c r="L96" s="111"/>
      <c r="M96" s="112"/>
      <c r="N96" s="113"/>
    </row>
    <row r="97" spans="1:14" x14ac:dyDescent="0.3">
      <c r="B97" s="101" t="s">
        <v>63</v>
      </c>
      <c r="C97" s="102">
        <v>-969.84351800000002</v>
      </c>
      <c r="D97" s="102"/>
      <c r="E97" s="102">
        <v>-76.675348</v>
      </c>
      <c r="F97" s="102"/>
      <c r="G97" s="103">
        <v>-970.15570300000002</v>
      </c>
      <c r="H97" s="102"/>
      <c r="I97" s="102">
        <v>-76.411471000000006</v>
      </c>
      <c r="J97" s="104"/>
      <c r="K97" s="114">
        <f t="shared" ref="K97:K100" si="9">(I97+G97)-(E97+C97)</f>
        <v>-4.8307999999906315E-2</v>
      </c>
      <c r="L97" s="114">
        <f t="shared" ref="L97:L100" si="10">K97*27</f>
        <v>-1.3043159999974705</v>
      </c>
      <c r="M97" s="115">
        <f t="shared" si="7"/>
        <v>-125.60079999975642</v>
      </c>
      <c r="N97" s="116">
        <f t="shared" si="8"/>
        <v>-30.434039999940978</v>
      </c>
    </row>
    <row r="98" spans="1:14" ht="15" thickBot="1" x14ac:dyDescent="0.35">
      <c r="B98" s="57" t="s">
        <v>257</v>
      </c>
      <c r="C98" s="34">
        <v>-969.86327800000004</v>
      </c>
      <c r="D98" s="34"/>
      <c r="E98" s="34">
        <v>-76.798567000000006</v>
      </c>
      <c r="F98" s="34"/>
      <c r="G98" s="35">
        <v>-970.24210700000003</v>
      </c>
      <c r="H98" s="34"/>
      <c r="I98" s="34">
        <v>-76.418996000000007</v>
      </c>
      <c r="J98" s="73"/>
      <c r="K98" s="108">
        <f t="shared" si="9"/>
        <v>7.4199999994561949E-4</v>
      </c>
      <c r="L98" s="108">
        <f t="shared" si="10"/>
        <v>2.0033999998531726E-2</v>
      </c>
      <c r="M98" s="109">
        <f t="shared" si="7"/>
        <v>1.9291999998586107</v>
      </c>
      <c r="N98" s="110">
        <f t="shared" si="8"/>
        <v>0.46745999996574028</v>
      </c>
    </row>
    <row r="99" spans="1:14" x14ac:dyDescent="0.3">
      <c r="A99" t="s">
        <v>248</v>
      </c>
      <c r="B99" s="56" t="s">
        <v>121</v>
      </c>
      <c r="C99">
        <v>-970.14002100000005</v>
      </c>
      <c r="D99" s="20"/>
      <c r="E99">
        <v>-76.696949000000004</v>
      </c>
      <c r="F99" s="20"/>
      <c r="G99">
        <v>-970.45077200000003</v>
      </c>
      <c r="H99" s="20"/>
      <c r="I99">
        <v>-76.436966999999996</v>
      </c>
      <c r="J99" s="72"/>
      <c r="K99" s="105">
        <f t="shared" si="9"/>
        <v>-5.0768999999945663E-2</v>
      </c>
      <c r="L99" s="105">
        <f t="shared" si="10"/>
        <v>-1.3707629999985329</v>
      </c>
      <c r="M99" s="106">
        <f t="shared" si="7"/>
        <v>-131.99939999985872</v>
      </c>
      <c r="N99" s="107">
        <f t="shared" si="8"/>
        <v>-31.984469999965768</v>
      </c>
    </row>
    <row r="100" spans="1:14" ht="15" thickBot="1" x14ac:dyDescent="0.35">
      <c r="A100" t="s">
        <v>249</v>
      </c>
      <c r="B100" s="56"/>
      <c r="C100">
        <v>-970.15772200000004</v>
      </c>
      <c r="D100" s="20"/>
      <c r="E100">
        <v>-76.824034999999995</v>
      </c>
      <c r="F100" s="20"/>
      <c r="G100">
        <v>-970.53577099999995</v>
      </c>
      <c r="H100" s="20"/>
      <c r="I100">
        <v>-76.444311999999996</v>
      </c>
      <c r="J100" s="72"/>
      <c r="K100" s="108">
        <f t="shared" si="9"/>
        <v>1.6740000000936561E-3</v>
      </c>
      <c r="L100" s="108">
        <f t="shared" si="10"/>
        <v>4.5198000002528715E-2</v>
      </c>
      <c r="M100" s="109">
        <f t="shared" si="7"/>
        <v>4.3524000002435059</v>
      </c>
      <c r="N100" s="110">
        <f t="shared" si="8"/>
        <v>1.0546200000590034</v>
      </c>
    </row>
    <row r="101" spans="1:14" x14ac:dyDescent="0.3">
      <c r="B101" s="56"/>
      <c r="C101" s="20"/>
      <c r="D101" s="20"/>
      <c r="E101" s="20"/>
      <c r="F101" s="20"/>
      <c r="G101" s="31"/>
      <c r="H101" s="20"/>
      <c r="I101" s="20"/>
      <c r="J101" s="72"/>
      <c r="K101" s="20"/>
      <c r="L101" s="20"/>
      <c r="M101" s="51"/>
      <c r="N101" s="47"/>
    </row>
    <row r="102" spans="1:14" ht="15" thickBot="1" x14ac:dyDescent="0.35">
      <c r="B102" s="57"/>
      <c r="C102" s="34"/>
      <c r="D102" s="34"/>
      <c r="E102" s="34"/>
      <c r="F102" s="34"/>
      <c r="G102" s="35"/>
      <c r="H102" s="34"/>
      <c r="I102" s="34"/>
      <c r="J102" s="73"/>
      <c r="K102" s="34"/>
      <c r="L102" s="34"/>
      <c r="M102" s="54"/>
      <c r="N102" s="48"/>
    </row>
    <row r="105" spans="1:14" x14ac:dyDescent="0.3">
      <c r="A105" t="s">
        <v>258</v>
      </c>
    </row>
    <row r="106" spans="1:14" ht="15" thickBot="1" x14ac:dyDescent="0.35"/>
    <row r="107" spans="1:14" ht="15" thickBot="1" x14ac:dyDescent="0.35">
      <c r="B107" s="58" t="s">
        <v>259</v>
      </c>
      <c r="C107" s="21" t="s">
        <v>30</v>
      </c>
      <c r="D107" s="23" t="s">
        <v>29</v>
      </c>
      <c r="E107" s="21" t="s">
        <v>260</v>
      </c>
      <c r="F107" s="21" t="s">
        <v>27</v>
      </c>
      <c r="G107" s="21" t="s">
        <v>261</v>
      </c>
      <c r="H107" s="21"/>
      <c r="I107" s="21"/>
      <c r="J107" s="70"/>
      <c r="K107" s="3" t="s">
        <v>103</v>
      </c>
      <c r="L107" s="3" t="s">
        <v>93</v>
      </c>
      <c r="M107" s="59" t="s">
        <v>104</v>
      </c>
      <c r="N107" s="7" t="s">
        <v>105</v>
      </c>
    </row>
    <row r="108" spans="1:14" ht="15" thickBot="1" x14ac:dyDescent="0.35">
      <c r="B108" s="55" t="s">
        <v>42</v>
      </c>
      <c r="C108" s="52">
        <v>-970.15640699999994</v>
      </c>
      <c r="D108" s="38"/>
      <c r="E108">
        <v>-765.42317800000001</v>
      </c>
      <c r="F108" s="38"/>
      <c r="G108" s="38">
        <v>-204.68172200000001</v>
      </c>
      <c r="H108" s="38"/>
      <c r="I108" s="38"/>
      <c r="J108" s="76"/>
      <c r="K108" s="105">
        <f>(G108+E108)-C108</f>
        <v>5.1506999999901382E-2</v>
      </c>
      <c r="L108" s="105">
        <f>K108*27</f>
        <v>1.3906889999973373</v>
      </c>
      <c r="M108" s="106">
        <f>$K108*2600</f>
        <v>133.91819999974359</v>
      </c>
      <c r="N108" s="107">
        <f>$K108*630</f>
        <v>32.44940999993787</v>
      </c>
    </row>
    <row r="109" spans="1:14" ht="15" thickBot="1" x14ac:dyDescent="0.35">
      <c r="B109" s="57" t="s">
        <v>257</v>
      </c>
      <c r="C109" s="35">
        <v>-970.24148500000001</v>
      </c>
      <c r="D109" s="34"/>
      <c r="E109" s="34"/>
      <c r="F109" s="34"/>
      <c r="G109" s="20">
        <v>-204.79655600000001</v>
      </c>
      <c r="H109" s="34"/>
      <c r="I109" s="34"/>
      <c r="J109" s="73"/>
      <c r="K109" s="105">
        <f t="shared" ref="K109:K111" si="11">(G109+E109)-C109</f>
        <v>765.444929</v>
      </c>
      <c r="L109" s="108">
        <f t="shared" ref="L109:L111" si="12">K109*27</f>
        <v>20667.013083000002</v>
      </c>
      <c r="M109" s="109">
        <f t="shared" ref="M109:M123" si="13">$K109*2600</f>
        <v>1990156.8154</v>
      </c>
      <c r="N109" s="110">
        <f t="shared" ref="N109:N123" si="14">$K109*630</f>
        <v>482230.30527000001</v>
      </c>
    </row>
    <row r="110" spans="1:14" ht="15" thickBot="1" x14ac:dyDescent="0.35">
      <c r="B110" s="56" t="s">
        <v>121</v>
      </c>
      <c r="C110">
        <v>-970.45077500000002</v>
      </c>
      <c r="D110" s="20"/>
      <c r="E110" s="20"/>
      <c r="F110" s="20"/>
      <c r="G110" s="20">
        <v>-204.74860799999999</v>
      </c>
      <c r="H110" s="20"/>
      <c r="I110" s="20"/>
      <c r="J110" s="72"/>
      <c r="K110" s="105">
        <f t="shared" si="11"/>
        <v>765.70216700000003</v>
      </c>
      <c r="L110" s="105">
        <f t="shared" si="12"/>
        <v>20673.958509</v>
      </c>
      <c r="M110" s="106">
        <f t="shared" si="13"/>
        <v>1990825.6342</v>
      </c>
      <c r="N110" s="107">
        <f t="shared" si="14"/>
        <v>482392.36521000002</v>
      </c>
    </row>
    <row r="111" spans="1:14" ht="15" thickBot="1" x14ac:dyDescent="0.35">
      <c r="B111" s="56"/>
      <c r="C111" s="15">
        <v>-970.53783399999998</v>
      </c>
      <c r="D111" s="20"/>
      <c r="E111" s="20"/>
      <c r="F111" s="20"/>
      <c r="G111" s="20">
        <v>-204.86345299999999</v>
      </c>
      <c r="H111" s="20"/>
      <c r="I111" s="20"/>
      <c r="J111" s="72"/>
      <c r="K111" s="105">
        <f t="shared" si="11"/>
        <v>765.67438100000004</v>
      </c>
      <c r="L111" s="108">
        <f t="shared" si="12"/>
        <v>20673.208287000001</v>
      </c>
      <c r="M111" s="109">
        <f t="shared" si="13"/>
        <v>1990753.3906</v>
      </c>
      <c r="N111" s="110">
        <f t="shared" si="14"/>
        <v>482374.86003000004</v>
      </c>
    </row>
    <row r="112" spans="1:14" x14ac:dyDescent="0.3">
      <c r="B112" s="56"/>
      <c r="C112" s="31"/>
      <c r="D112" s="20"/>
      <c r="E112" s="20"/>
      <c r="F112" s="20"/>
      <c r="H112" s="20"/>
      <c r="I112" s="20"/>
      <c r="J112" s="72"/>
      <c r="K112" s="111"/>
      <c r="L112" s="111"/>
      <c r="M112" s="112"/>
      <c r="N112" s="113"/>
    </row>
    <row r="113" spans="2:14" ht="15" thickBot="1" x14ac:dyDescent="0.35">
      <c r="B113" s="56"/>
      <c r="C113" s="31"/>
      <c r="D113" s="20"/>
      <c r="E113" s="34"/>
      <c r="F113" s="20"/>
      <c r="G113" s="20"/>
      <c r="H113" s="20"/>
      <c r="I113" s="20"/>
      <c r="J113" s="72"/>
      <c r="K113" s="111"/>
      <c r="L113" s="111"/>
      <c r="M113" s="112"/>
      <c r="N113" s="113"/>
    </row>
    <row r="114" spans="2:14" ht="15" thickBot="1" x14ac:dyDescent="0.35">
      <c r="B114" s="55" t="s">
        <v>43</v>
      </c>
      <c r="C114" s="52">
        <v>-970.14410199999998</v>
      </c>
      <c r="D114" s="38"/>
      <c r="E114">
        <v>-765.42317800000001</v>
      </c>
      <c r="F114" s="38"/>
      <c r="G114" s="38">
        <v>-204.68172200000001</v>
      </c>
      <c r="H114" s="38"/>
      <c r="I114" s="38"/>
      <c r="J114" s="76"/>
      <c r="K114" s="105">
        <f>(G114+E114)-C114</f>
        <v>3.9201999999932013E-2</v>
      </c>
      <c r="L114" s="105">
        <f t="shared" ref="L114:L117" si="15">K114*27</f>
        <v>1.0584539999981644</v>
      </c>
      <c r="M114" s="106">
        <f t="shared" si="13"/>
        <v>101.92519999982323</v>
      </c>
      <c r="N114" s="107">
        <f t="shared" si="14"/>
        <v>24.697259999957168</v>
      </c>
    </row>
    <row r="115" spans="2:14" ht="15" thickBot="1" x14ac:dyDescent="0.35">
      <c r="B115" s="57" t="s">
        <v>257</v>
      </c>
      <c r="C115" s="35">
        <v>-970.22698300000002</v>
      </c>
      <c r="D115" s="34"/>
      <c r="E115" s="34"/>
      <c r="F115" s="34"/>
      <c r="G115" s="20">
        <v>-204.79655600000001</v>
      </c>
      <c r="H115" s="34"/>
      <c r="I115" s="34"/>
      <c r="J115" s="73"/>
      <c r="K115" s="105">
        <f t="shared" ref="K115:K117" si="16">(G115+E115)-C115</f>
        <v>765.43042700000001</v>
      </c>
      <c r="L115" s="108">
        <f t="shared" si="15"/>
        <v>20666.621529</v>
      </c>
      <c r="M115" s="109">
        <f t="shared" si="13"/>
        <v>1990119.1102</v>
      </c>
      <c r="N115" s="110">
        <f t="shared" si="14"/>
        <v>482221.16901000001</v>
      </c>
    </row>
    <row r="116" spans="2:14" ht="15" thickBot="1" x14ac:dyDescent="0.35">
      <c r="B116" s="56" t="s">
        <v>121</v>
      </c>
      <c r="C116">
        <v>-970.43819800000006</v>
      </c>
      <c r="D116" s="20"/>
      <c r="E116" s="20"/>
      <c r="F116" s="20"/>
      <c r="G116" s="20">
        <v>-204.74860799999999</v>
      </c>
      <c r="H116" s="20"/>
      <c r="I116" s="20"/>
      <c r="J116" s="72"/>
      <c r="K116" s="105">
        <f t="shared" si="16"/>
        <v>765.68959000000007</v>
      </c>
      <c r="L116" s="105">
        <f t="shared" si="15"/>
        <v>20673.618930000001</v>
      </c>
      <c r="M116" s="106">
        <f t="shared" si="13"/>
        <v>1990792.9340000001</v>
      </c>
      <c r="N116" s="107">
        <f t="shared" si="14"/>
        <v>482384.44170000002</v>
      </c>
    </row>
    <row r="117" spans="2:14" ht="15" thickBot="1" x14ac:dyDescent="0.35">
      <c r="B117" s="56"/>
      <c r="C117">
        <v>-970.52695700000004</v>
      </c>
      <c r="D117" s="20"/>
      <c r="E117" s="20"/>
      <c r="F117" s="20"/>
      <c r="G117" s="20">
        <v>-204.86345299999999</v>
      </c>
      <c r="H117" s="20"/>
      <c r="I117" s="20"/>
      <c r="J117" s="72"/>
      <c r="K117" s="105">
        <f t="shared" si="16"/>
        <v>765.6635040000001</v>
      </c>
      <c r="L117" s="108">
        <f t="shared" si="15"/>
        <v>20672.914608000003</v>
      </c>
      <c r="M117" s="109">
        <f t="shared" si="13"/>
        <v>1990725.1104000004</v>
      </c>
      <c r="N117" s="110">
        <f t="shared" si="14"/>
        <v>482368.00752000004</v>
      </c>
    </row>
    <row r="118" spans="2:14" x14ac:dyDescent="0.3">
      <c r="B118" s="56"/>
      <c r="C118" s="31"/>
      <c r="D118" s="20"/>
      <c r="E118" s="20"/>
      <c r="F118" s="20"/>
      <c r="G118" s="20"/>
      <c r="H118" s="20"/>
      <c r="I118" s="20"/>
      <c r="J118" s="72"/>
      <c r="K118" s="111"/>
      <c r="L118" s="111"/>
      <c r="M118" s="112"/>
      <c r="N118" s="113"/>
    </row>
    <row r="119" spans="2:14" ht="15" thickBot="1" x14ac:dyDescent="0.35">
      <c r="B119" s="56"/>
      <c r="C119" s="31"/>
      <c r="D119" s="20"/>
      <c r="E119" s="20"/>
      <c r="F119" s="20"/>
      <c r="G119" s="20"/>
      <c r="H119" s="20"/>
      <c r="I119" s="20"/>
      <c r="J119" s="72"/>
      <c r="K119" s="111"/>
      <c r="L119" s="111"/>
      <c r="M119" s="112"/>
      <c r="N119" s="113"/>
    </row>
    <row r="120" spans="2:14" ht="15" thickBot="1" x14ac:dyDescent="0.35">
      <c r="B120" s="101" t="s">
        <v>63</v>
      </c>
      <c r="C120" s="103">
        <v>-970.15570300000002</v>
      </c>
      <c r="D120" s="102"/>
      <c r="E120">
        <v>-765.42317800000001</v>
      </c>
      <c r="F120" s="102"/>
      <c r="G120" s="38">
        <v>-204.68172200000001</v>
      </c>
      <c r="H120" s="102"/>
      <c r="I120" s="102"/>
      <c r="J120" s="104"/>
      <c r="K120" s="105">
        <f>(G120+E120)-C120</f>
        <v>5.0802999999973508E-2</v>
      </c>
      <c r="L120" s="114">
        <f t="shared" ref="L120:L123" si="17">K120*27</f>
        <v>1.3716809999992847</v>
      </c>
      <c r="M120" s="115">
        <f t="shared" si="13"/>
        <v>132.08779999993112</v>
      </c>
      <c r="N120" s="116">
        <f t="shared" si="14"/>
        <v>32.00588999998331</v>
      </c>
    </row>
    <row r="121" spans="2:14" ht="15" thickBot="1" x14ac:dyDescent="0.35">
      <c r="B121" s="57" t="s">
        <v>257</v>
      </c>
      <c r="C121" s="35">
        <v>-970.24210700000003</v>
      </c>
      <c r="D121" s="34"/>
      <c r="E121" s="34"/>
      <c r="F121" s="34"/>
      <c r="G121" s="20">
        <v>-204.79655600000001</v>
      </c>
      <c r="H121" s="34"/>
      <c r="I121" s="34"/>
      <c r="J121" s="73"/>
      <c r="K121" s="105">
        <f t="shared" ref="K121:K123" si="18">(G121+E121)-C121</f>
        <v>765.44555100000002</v>
      </c>
      <c r="L121" s="108">
        <f t="shared" si="17"/>
        <v>20667.029877000001</v>
      </c>
      <c r="M121" s="109">
        <f t="shared" si="13"/>
        <v>1990158.4326000002</v>
      </c>
      <c r="N121" s="110">
        <f t="shared" si="14"/>
        <v>482230.69712999999</v>
      </c>
    </row>
    <row r="122" spans="2:14" ht="15" thickBot="1" x14ac:dyDescent="0.35">
      <c r="B122" s="56" t="s">
        <v>121</v>
      </c>
      <c r="C122">
        <v>-970.45077200000003</v>
      </c>
      <c r="D122" s="20"/>
      <c r="E122" s="20"/>
      <c r="F122" s="20"/>
      <c r="G122" s="20">
        <v>-204.74860799999999</v>
      </c>
      <c r="H122" s="20"/>
      <c r="I122" s="20"/>
      <c r="J122" s="72"/>
      <c r="K122" s="105">
        <f t="shared" si="18"/>
        <v>765.70216400000004</v>
      </c>
      <c r="L122" s="105">
        <f t="shared" si="17"/>
        <v>20673.958428000002</v>
      </c>
      <c r="M122" s="106">
        <f t="shared" si="13"/>
        <v>1990825.6264000002</v>
      </c>
      <c r="N122" s="107">
        <f t="shared" si="14"/>
        <v>482392.36332</v>
      </c>
    </row>
    <row r="123" spans="2:14" ht="15" thickBot="1" x14ac:dyDescent="0.35">
      <c r="B123" s="56"/>
      <c r="C123">
        <v>-970.53577099999995</v>
      </c>
      <c r="D123" s="20"/>
      <c r="E123" s="20"/>
      <c r="F123" s="20"/>
      <c r="G123" s="20">
        <v>-204.86345299999999</v>
      </c>
      <c r="H123" s="20"/>
      <c r="I123" s="20"/>
      <c r="J123" s="72"/>
      <c r="K123" s="105">
        <f t="shared" si="18"/>
        <v>765.6723179999999</v>
      </c>
      <c r="L123" s="108">
        <f t="shared" si="17"/>
        <v>20673.152585999997</v>
      </c>
      <c r="M123" s="109">
        <f t="shared" si="13"/>
        <v>1990748.0267999996</v>
      </c>
      <c r="N123" s="110">
        <f t="shared" si="14"/>
        <v>482373.56033999997</v>
      </c>
    </row>
    <row r="124" spans="2:14" x14ac:dyDescent="0.3">
      <c r="B124" s="56"/>
      <c r="C124" s="31"/>
      <c r="D124" s="20"/>
      <c r="E124" s="20"/>
      <c r="F124" s="20"/>
      <c r="G124" s="20"/>
      <c r="H124" s="20"/>
      <c r="I124" s="20"/>
      <c r="J124" s="72"/>
      <c r="K124" s="20"/>
      <c r="L124" s="20"/>
      <c r="M124" s="51"/>
      <c r="N124" s="47"/>
    </row>
    <row r="125" spans="2:14" ht="15" thickBot="1" x14ac:dyDescent="0.35">
      <c r="B125" s="57"/>
      <c r="C125" s="35"/>
      <c r="D125" s="34"/>
      <c r="E125" s="34"/>
      <c r="F125" s="34"/>
      <c r="G125" s="34"/>
      <c r="H125" s="34"/>
      <c r="I125" s="34"/>
      <c r="J125" s="73"/>
      <c r="K125" s="34"/>
      <c r="L125" s="34"/>
      <c r="M125" s="54"/>
      <c r="N125" s="48"/>
    </row>
  </sheetData>
  <hyperlinks>
    <hyperlink ref="E67" r:id="rId1" display="https://cccbdb.nist.gov/energy3x.asp?method=60&amp;basis=4&amp;charge=1" xr:uid="{FBA0079D-ED87-4DE4-B316-BC57BE6DD07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0730-69BA-4C7B-85BA-F15E93A1C090}">
  <dimension ref="A1:D7"/>
  <sheetViews>
    <sheetView workbookViewId="0">
      <selection activeCell="D8" sqref="D8"/>
    </sheetView>
    <sheetView workbookViewId="1"/>
  </sheetViews>
  <sheetFormatPr defaultRowHeight="14.4" x14ac:dyDescent="0.3"/>
  <cols>
    <col min="1" max="1" width="14.33203125" bestFit="1" customWidth="1"/>
    <col min="2" max="2" width="13.6640625" bestFit="1" customWidth="1"/>
  </cols>
  <sheetData>
    <row r="1" spans="1:4" x14ac:dyDescent="0.3">
      <c r="A1" t="s">
        <v>106</v>
      </c>
      <c r="B1" t="s">
        <v>262</v>
      </c>
    </row>
    <row r="2" spans="1:4" x14ac:dyDescent="0.3">
      <c r="B2" t="s">
        <v>265</v>
      </c>
      <c r="C2" t="s">
        <v>121</v>
      </c>
      <c r="D2" t="s">
        <v>120</v>
      </c>
    </row>
    <row r="3" spans="1:4" x14ac:dyDescent="0.3">
      <c r="A3" t="s">
        <v>263</v>
      </c>
      <c r="B3">
        <f>_DeltaG!N9</f>
        <v>-30.877559999823916</v>
      </c>
      <c r="C3">
        <f>_DeltaG!N11</f>
        <v>-31.986360000032619</v>
      </c>
      <c r="D3">
        <f>_DeltaG!N10</f>
        <v>-36.94761000004064</v>
      </c>
    </row>
    <row r="5" spans="1:4" x14ac:dyDescent="0.3">
      <c r="A5" t="s">
        <v>264</v>
      </c>
      <c r="B5">
        <f>_DeltaG!N13</f>
        <v>-23.125409999986459</v>
      </c>
      <c r="C5">
        <f>_DeltaG!N15</f>
        <v>-24.062850000054823</v>
      </c>
      <c r="D5">
        <f>_DeltaG!N14</f>
        <v>-22.145130000026256</v>
      </c>
    </row>
    <row r="7" spans="1:4" x14ac:dyDescent="0.3">
      <c r="A7" t="s">
        <v>63</v>
      </c>
      <c r="B7">
        <f>_DeltaG!L18</f>
        <v>-1.3043159999974705</v>
      </c>
      <c r="C7">
        <f>_DeltaG!N20</f>
        <v>-31.984469999965768</v>
      </c>
      <c r="D7">
        <f>_DeltaG!N19</f>
        <v>-36.946979999970608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E063-1832-44BE-95DA-14B1794A2282}">
  <dimension ref="A1:D7"/>
  <sheetViews>
    <sheetView workbookViewId="0">
      <selection activeCell="C8" sqref="C8"/>
    </sheetView>
    <sheetView workbookViewId="1"/>
  </sheetViews>
  <sheetFormatPr defaultRowHeight="14.4" x14ac:dyDescent="0.3"/>
  <sheetData>
    <row r="1" spans="1:4" x14ac:dyDescent="0.3">
      <c r="A1" t="s">
        <v>106</v>
      </c>
      <c r="B1" t="s">
        <v>262</v>
      </c>
    </row>
    <row r="2" spans="1:4" x14ac:dyDescent="0.3">
      <c r="B2" t="s">
        <v>265</v>
      </c>
      <c r="C2" t="s">
        <v>266</v>
      </c>
      <c r="D2" t="s">
        <v>267</v>
      </c>
    </row>
    <row r="3" spans="1:4" x14ac:dyDescent="0.3">
      <c r="A3" t="s">
        <v>263</v>
      </c>
      <c r="C3">
        <f>_DeltaG!N33</f>
        <v>0.8593199999791068</v>
      </c>
    </row>
    <row r="5" spans="1:4" x14ac:dyDescent="0.3">
      <c r="A5" t="s">
        <v>264</v>
      </c>
      <c r="C5">
        <f>_DeltaG!N37</f>
        <v>9.9955799999747796</v>
      </c>
    </row>
    <row r="7" spans="1:4" x14ac:dyDescent="0.3">
      <c r="A7" t="s">
        <v>63</v>
      </c>
      <c r="C7">
        <f>_DeltaG!N41</f>
        <v>0.46745999996574028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A807-2D85-40C6-9128-5943A97A91DE}">
  <dimension ref="A1:G62"/>
  <sheetViews>
    <sheetView topLeftCell="A2" zoomScale="116" workbookViewId="0">
      <selection activeCell="E10" sqref="E10"/>
    </sheetView>
    <sheetView workbookViewId="1"/>
  </sheetViews>
  <sheetFormatPr defaultRowHeight="14.4" x14ac:dyDescent="0.3"/>
  <cols>
    <col min="1" max="1" width="55.77734375" style="15" bestFit="1" customWidth="1"/>
    <col min="2" max="2" width="35.88671875" style="15" bestFit="1" customWidth="1"/>
    <col min="3" max="4" width="8.88671875" style="15"/>
    <col min="5" max="5" width="28.44140625" style="15" bestFit="1" customWidth="1"/>
    <col min="6" max="6" width="11.6640625" style="15" bestFit="1" customWidth="1"/>
    <col min="7" max="16384" width="8.88671875" style="15"/>
  </cols>
  <sheetData>
    <row r="1" spans="1:7" x14ac:dyDescent="0.3">
      <c r="A1" s="15" t="s">
        <v>123</v>
      </c>
      <c r="B1" s="15" t="s">
        <v>284</v>
      </c>
    </row>
    <row r="2" spans="1:7" x14ac:dyDescent="0.3">
      <c r="A2" s="15" t="s">
        <v>268</v>
      </c>
    </row>
    <row r="4" spans="1:7" ht="15" thickBot="1" x14ac:dyDescent="0.35">
      <c r="E4" s="15" t="str">
        <f>A5</f>
        <v>C2_NC3-CH3_corr-C2H-ON.out</v>
      </c>
      <c r="F4" s="15">
        <f>B14</f>
        <v>-970.15884600000004</v>
      </c>
    </row>
    <row r="5" spans="1:7" ht="15" thickBot="1" x14ac:dyDescent="0.35">
      <c r="A5" s="15" t="s">
        <v>269</v>
      </c>
      <c r="E5" s="117" t="str">
        <f>A17</f>
        <v>C2_NC3-CH3_corr-Hcap.out</v>
      </c>
      <c r="F5" s="118">
        <f>B26</f>
        <v>-970.16489000000001</v>
      </c>
    </row>
    <row r="6" spans="1:7" ht="15" thickBot="1" x14ac:dyDescent="0.35">
      <c r="A6" s="15" t="s">
        <v>270</v>
      </c>
      <c r="B6" s="15" t="s">
        <v>271</v>
      </c>
      <c r="E6" s="15" t="str">
        <f>A29</f>
        <v>C2_NC3-CH3_corr-OH_down.out</v>
      </c>
      <c r="F6" s="15">
        <f>B38</f>
        <v>-970.15010700000005</v>
      </c>
    </row>
    <row r="7" spans="1:7" ht="15" thickBot="1" x14ac:dyDescent="0.35">
      <c r="A7" s="15" t="s">
        <v>144</v>
      </c>
      <c r="B7" s="15" t="s">
        <v>272</v>
      </c>
      <c r="E7" s="117" t="str">
        <f>A41</f>
        <v>C2_NC3-CH3_corr-OH_up.out</v>
      </c>
      <c r="F7" s="118">
        <f>B50</f>
        <v>-970.16488900000002</v>
      </c>
      <c r="G7" s="122" t="s">
        <v>368</v>
      </c>
    </row>
    <row r="8" spans="1:7" x14ac:dyDescent="0.3">
      <c r="A8" s="15" t="s">
        <v>146</v>
      </c>
      <c r="B8" s="15">
        <v>0.287522</v>
      </c>
      <c r="E8" s="15" t="str">
        <f>A53</f>
        <v>C2_NC3-CH3_corr_HI.out</v>
      </c>
      <c r="F8" s="15">
        <f>B62</f>
        <v>-969.85363400000006</v>
      </c>
    </row>
    <row r="9" spans="1:7" x14ac:dyDescent="0.3">
      <c r="A9" s="15" t="s">
        <v>147</v>
      </c>
      <c r="B9" s="15">
        <v>0.288466</v>
      </c>
    </row>
    <row r="10" spans="1:7" x14ac:dyDescent="0.3">
      <c r="A10" s="15" t="s">
        <v>148</v>
      </c>
      <c r="B10" s="15">
        <v>0.22095899999999999</v>
      </c>
      <c r="E10" s="15" t="s">
        <v>370</v>
      </c>
    </row>
    <row r="11" spans="1:7" x14ac:dyDescent="0.3">
      <c r="A11" s="15" t="s">
        <v>149</v>
      </c>
      <c r="B11" s="15">
        <v>-970.11142500000005</v>
      </c>
      <c r="E11" s="15" t="s">
        <v>369</v>
      </c>
    </row>
    <row r="12" spans="1:7" x14ac:dyDescent="0.3">
      <c r="A12" s="15" t="s">
        <v>150</v>
      </c>
      <c r="B12" s="15">
        <v>-970.09228299999995</v>
      </c>
    </row>
    <row r="13" spans="1:7" x14ac:dyDescent="0.3">
      <c r="A13" s="15" t="s">
        <v>151</v>
      </c>
      <c r="B13" s="15">
        <v>-970.09133899999995</v>
      </c>
    </row>
    <row r="14" spans="1:7" x14ac:dyDescent="0.3">
      <c r="A14" s="15" t="s">
        <v>152</v>
      </c>
      <c r="B14" s="15">
        <v>-970.15884600000004</v>
      </c>
    </row>
    <row r="17" spans="1:2" x14ac:dyDescent="0.3">
      <c r="A17" s="15" t="s">
        <v>273</v>
      </c>
    </row>
    <row r="18" spans="1:2" x14ac:dyDescent="0.3">
      <c r="A18" s="15" t="s">
        <v>270</v>
      </c>
      <c r="B18" s="15" t="s">
        <v>274</v>
      </c>
    </row>
    <row r="19" spans="1:2" x14ac:dyDescent="0.3">
      <c r="A19" s="15" t="s">
        <v>144</v>
      </c>
      <c r="B19" s="15" t="s">
        <v>275</v>
      </c>
    </row>
    <row r="20" spans="1:2" x14ac:dyDescent="0.3">
      <c r="A20" s="15" t="s">
        <v>146</v>
      </c>
      <c r="B20" s="15">
        <v>0.287609</v>
      </c>
    </row>
    <row r="21" spans="1:2" x14ac:dyDescent="0.3">
      <c r="A21" s="15" t="s">
        <v>147</v>
      </c>
      <c r="B21" s="15">
        <v>0.288553</v>
      </c>
    </row>
    <row r="22" spans="1:2" x14ac:dyDescent="0.3">
      <c r="A22" s="15" t="s">
        <v>148</v>
      </c>
      <c r="B22" s="15">
        <v>0.22271199999999999</v>
      </c>
    </row>
    <row r="23" spans="1:2" x14ac:dyDescent="0.3">
      <c r="A23" s="15" t="s">
        <v>149</v>
      </c>
      <c r="B23" s="15">
        <v>-970.11824799999999</v>
      </c>
    </row>
    <row r="24" spans="1:2" x14ac:dyDescent="0.3">
      <c r="A24" s="15" t="s">
        <v>150</v>
      </c>
      <c r="B24" s="15">
        <v>-970.09999400000004</v>
      </c>
    </row>
    <row r="25" spans="1:2" x14ac:dyDescent="0.3">
      <c r="A25" s="15" t="s">
        <v>151</v>
      </c>
      <c r="B25" s="15">
        <v>-970.09904900000004</v>
      </c>
    </row>
    <row r="26" spans="1:2" x14ac:dyDescent="0.3">
      <c r="A26" s="15" t="s">
        <v>152</v>
      </c>
      <c r="B26" s="15">
        <v>-970.16489000000001</v>
      </c>
    </row>
    <row r="29" spans="1:2" x14ac:dyDescent="0.3">
      <c r="A29" s="15" t="s">
        <v>276</v>
      </c>
    </row>
    <row r="30" spans="1:2" x14ac:dyDescent="0.3">
      <c r="A30" s="15" t="s">
        <v>270</v>
      </c>
      <c r="B30" s="15" t="s">
        <v>277</v>
      </c>
    </row>
    <row r="31" spans="1:2" x14ac:dyDescent="0.3">
      <c r="A31" s="15" t="s">
        <v>144</v>
      </c>
      <c r="B31" s="15" t="s">
        <v>278</v>
      </c>
    </row>
    <row r="32" spans="1:2" x14ac:dyDescent="0.3">
      <c r="A32" s="15" t="s">
        <v>146</v>
      </c>
      <c r="B32" s="15">
        <v>0.28815800000000003</v>
      </c>
    </row>
    <row r="33" spans="1:2" x14ac:dyDescent="0.3">
      <c r="A33" s="15" t="s">
        <v>147</v>
      </c>
      <c r="B33" s="15">
        <v>0.28910200000000003</v>
      </c>
    </row>
    <row r="34" spans="1:2" x14ac:dyDescent="0.3">
      <c r="A34" s="15" t="s">
        <v>148</v>
      </c>
      <c r="B34" s="15">
        <v>0.22279599999999999</v>
      </c>
    </row>
    <row r="35" spans="1:2" x14ac:dyDescent="0.3">
      <c r="A35" s="15" t="s">
        <v>149</v>
      </c>
      <c r="B35" s="15">
        <v>-970.10311400000001</v>
      </c>
    </row>
    <row r="36" spans="1:2" x14ac:dyDescent="0.3">
      <c r="A36" s="15" t="s">
        <v>150</v>
      </c>
      <c r="B36" s="15">
        <v>-970.084746</v>
      </c>
    </row>
    <row r="37" spans="1:2" x14ac:dyDescent="0.3">
      <c r="A37" s="15" t="s">
        <v>151</v>
      </c>
      <c r="B37" s="15">
        <v>-970.08380199999999</v>
      </c>
    </row>
    <row r="38" spans="1:2" x14ac:dyDescent="0.3">
      <c r="A38" s="15" t="s">
        <v>152</v>
      </c>
      <c r="B38" s="15">
        <v>-970.15010700000005</v>
      </c>
    </row>
    <row r="41" spans="1:2" x14ac:dyDescent="0.3">
      <c r="A41" s="15" t="s">
        <v>279</v>
      </c>
    </row>
    <row r="42" spans="1:2" x14ac:dyDescent="0.3">
      <c r="A42" s="15" t="s">
        <v>270</v>
      </c>
      <c r="B42" s="15" t="s">
        <v>280</v>
      </c>
    </row>
    <row r="43" spans="1:2" x14ac:dyDescent="0.3">
      <c r="A43" s="15" t="s">
        <v>144</v>
      </c>
      <c r="B43" s="15" t="s">
        <v>275</v>
      </c>
    </row>
    <row r="44" spans="1:2" x14ac:dyDescent="0.3">
      <c r="A44" s="15" t="s">
        <v>146</v>
      </c>
      <c r="B44" s="15">
        <v>0.287609</v>
      </c>
    </row>
    <row r="45" spans="1:2" x14ac:dyDescent="0.3">
      <c r="A45" s="15" t="s">
        <v>147</v>
      </c>
      <c r="B45" s="15">
        <v>0.288553</v>
      </c>
    </row>
    <row r="46" spans="1:2" x14ac:dyDescent="0.3">
      <c r="A46" s="15" t="s">
        <v>148</v>
      </c>
      <c r="B46" s="15">
        <v>0.22271299999999999</v>
      </c>
    </row>
    <row r="47" spans="1:2" x14ac:dyDescent="0.3">
      <c r="A47" s="15" t="s">
        <v>149</v>
      </c>
      <c r="B47" s="15">
        <v>-970.11824799999999</v>
      </c>
    </row>
    <row r="48" spans="1:2" x14ac:dyDescent="0.3">
      <c r="A48" s="15" t="s">
        <v>150</v>
      </c>
      <c r="B48" s="15">
        <v>-970.09999300000004</v>
      </c>
    </row>
    <row r="49" spans="1:2" x14ac:dyDescent="0.3">
      <c r="A49" s="15" t="s">
        <v>151</v>
      </c>
      <c r="B49" s="15">
        <v>-970.09904900000004</v>
      </c>
    </row>
    <row r="50" spans="1:2" x14ac:dyDescent="0.3">
      <c r="A50" s="15" t="s">
        <v>152</v>
      </c>
      <c r="B50" s="15">
        <v>-970.16488900000002</v>
      </c>
    </row>
    <row r="53" spans="1:2" x14ac:dyDescent="0.3">
      <c r="A53" s="15" t="s">
        <v>281</v>
      </c>
    </row>
    <row r="54" spans="1:2" x14ac:dyDescent="0.3">
      <c r="A54" s="15" t="s">
        <v>270</v>
      </c>
      <c r="B54" s="15" t="s">
        <v>282</v>
      </c>
    </row>
    <row r="55" spans="1:2" x14ac:dyDescent="0.3">
      <c r="A55" s="15" t="s">
        <v>144</v>
      </c>
      <c r="B55" s="15" t="s">
        <v>283</v>
      </c>
    </row>
    <row r="56" spans="1:2" x14ac:dyDescent="0.3">
      <c r="A56" s="15" t="s">
        <v>146</v>
      </c>
      <c r="B56" s="15">
        <v>0.275092</v>
      </c>
    </row>
    <row r="57" spans="1:2" x14ac:dyDescent="0.3">
      <c r="A57" s="15" t="s">
        <v>147</v>
      </c>
      <c r="B57" s="15">
        <v>0.276036</v>
      </c>
    </row>
    <row r="58" spans="1:2" x14ac:dyDescent="0.3">
      <c r="A58" s="15" t="s">
        <v>148</v>
      </c>
      <c r="B58" s="15">
        <v>0.209037</v>
      </c>
    </row>
    <row r="59" spans="1:2" x14ac:dyDescent="0.3">
      <c r="A59" s="15" t="s">
        <v>149</v>
      </c>
      <c r="B59" s="15">
        <v>-969.80586700000003</v>
      </c>
    </row>
    <row r="60" spans="1:2" x14ac:dyDescent="0.3">
      <c r="A60" s="15" t="s">
        <v>150</v>
      </c>
      <c r="B60" s="15">
        <v>-969.78757900000005</v>
      </c>
    </row>
    <row r="61" spans="1:2" x14ac:dyDescent="0.3">
      <c r="A61" s="15" t="s">
        <v>151</v>
      </c>
      <c r="B61" s="15">
        <v>-969.78663500000005</v>
      </c>
    </row>
    <row r="62" spans="1:2" x14ac:dyDescent="0.3">
      <c r="A62" s="15" t="s">
        <v>152</v>
      </c>
      <c r="B62" s="15">
        <v>-969.85363400000006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52AD-8791-4147-9691-12CC09F32C81}">
  <dimension ref="A1:J73"/>
  <sheetViews>
    <sheetView tabSelected="1" zoomScale="109" workbookViewId="0">
      <selection activeCell="E14" sqref="E14"/>
    </sheetView>
    <sheetView workbookViewId="1"/>
  </sheetViews>
  <sheetFormatPr defaultRowHeight="14.4" x14ac:dyDescent="0.3"/>
  <cols>
    <col min="1" max="1" width="59.88671875" style="15" bestFit="1" customWidth="1"/>
    <col min="2" max="2" width="36" style="15" bestFit="1" customWidth="1"/>
    <col min="3" max="4" width="8.88671875" style="15"/>
    <col min="5" max="5" width="30.33203125" style="15" bestFit="1" customWidth="1"/>
    <col min="6" max="6" width="11.21875" style="15" bestFit="1" customWidth="1"/>
    <col min="7" max="7" width="8.88671875" style="15"/>
    <col min="8" max="8" width="32.88671875" style="15" bestFit="1" customWidth="1"/>
    <col min="9" max="9" width="11.21875" style="15" bestFit="1" customWidth="1"/>
    <col min="10" max="16384" width="8.88671875" style="15"/>
  </cols>
  <sheetData>
    <row r="1" spans="1:10" x14ac:dyDescent="0.3">
      <c r="A1" s="15" t="s">
        <v>123</v>
      </c>
    </row>
    <row r="2" spans="1:10" x14ac:dyDescent="0.3">
      <c r="A2" s="15" t="s">
        <v>285</v>
      </c>
    </row>
    <row r="4" spans="1:10" ht="15" thickBot="1" x14ac:dyDescent="0.35">
      <c r="E4" s="122" t="str">
        <f>E16</f>
        <v>s_C2_NC3-CH3_corr-C2H-ON.out</v>
      </c>
      <c r="F4" s="122">
        <f>F25</f>
        <v>-970.24149599999998</v>
      </c>
      <c r="G4" s="122"/>
      <c r="H4" s="122" t="s">
        <v>348</v>
      </c>
      <c r="I4" s="122">
        <v>-970.25550199999998</v>
      </c>
      <c r="J4" s="122" t="s">
        <v>364</v>
      </c>
    </row>
    <row r="5" spans="1:10" ht="15" thickBot="1" x14ac:dyDescent="0.35">
      <c r="E5" s="117" t="str">
        <f>E28</f>
        <v>s_C2_NC3-CH3_corr-Hcap.out</v>
      </c>
      <c r="F5" s="119">
        <f>F37</f>
        <v>-970.24214800000004</v>
      </c>
      <c r="G5" s="119"/>
      <c r="H5" s="119" t="s">
        <v>351</v>
      </c>
      <c r="I5" s="118">
        <v>-970.27236000000005</v>
      </c>
    </row>
    <row r="6" spans="1:10" x14ac:dyDescent="0.3">
      <c r="E6" s="15" t="str">
        <f>E40</f>
        <v>s_C2_NC3-CH3_corr-OH_down.out</v>
      </c>
      <c r="F6" s="15">
        <f>F49</f>
        <v>-970.231313</v>
      </c>
      <c r="H6" s="15" t="s">
        <v>354</v>
      </c>
      <c r="I6" s="15">
        <v>-970.25293799999997</v>
      </c>
    </row>
    <row r="7" spans="1:10" x14ac:dyDescent="0.3">
      <c r="E7" s="120" t="str">
        <f>E52</f>
        <v>s_C2_NC3-CH3_corr-OH_up.out</v>
      </c>
      <c r="F7" s="120">
        <f>F61</f>
        <v>-970.209339</v>
      </c>
      <c r="G7" s="120"/>
      <c r="H7" s="120" t="s">
        <v>357</v>
      </c>
      <c r="I7" s="120">
        <v>-970.25085799999999</v>
      </c>
    </row>
    <row r="8" spans="1:10" x14ac:dyDescent="0.3">
      <c r="E8" s="15" t="str">
        <f>E64</f>
        <v>s_C2_NC3-CH3_corr_HI.out</v>
      </c>
      <c r="F8" s="15">
        <f>F73</f>
        <v>-969.86831800000004</v>
      </c>
      <c r="H8" s="15" t="s">
        <v>360</v>
      </c>
      <c r="I8" s="15">
        <v>-969.87570300000004</v>
      </c>
    </row>
    <row r="10" spans="1:10" x14ac:dyDescent="0.3">
      <c r="H10" s="15" t="s">
        <v>363</v>
      </c>
    </row>
    <row r="11" spans="1:10" x14ac:dyDescent="0.3">
      <c r="E11" s="121" t="s">
        <v>365</v>
      </c>
    </row>
    <row r="12" spans="1:10" x14ac:dyDescent="0.3">
      <c r="E12" s="15" t="s">
        <v>366</v>
      </c>
    </row>
    <row r="14" spans="1:10" x14ac:dyDescent="0.3">
      <c r="E14" s="15" t="s">
        <v>405</v>
      </c>
    </row>
    <row r="16" spans="1:10" x14ac:dyDescent="0.3">
      <c r="E16" s="15" t="s">
        <v>286</v>
      </c>
    </row>
    <row r="17" spans="5:6" x14ac:dyDescent="0.3">
      <c r="E17" s="15" t="s">
        <v>270</v>
      </c>
      <c r="F17" s="15" t="s">
        <v>287</v>
      </c>
    </row>
    <row r="18" spans="5:6" x14ac:dyDescent="0.3">
      <c r="E18" s="15" t="s">
        <v>144</v>
      </c>
      <c r="F18" s="15" t="s">
        <v>288</v>
      </c>
    </row>
    <row r="19" spans="5:6" x14ac:dyDescent="0.3">
      <c r="E19" s="15" t="s">
        <v>146</v>
      </c>
      <c r="F19" s="15">
        <v>0.28075</v>
      </c>
    </row>
    <row r="20" spans="5:6" x14ac:dyDescent="0.3">
      <c r="E20" s="15" t="s">
        <v>147</v>
      </c>
      <c r="F20" s="15">
        <v>0.281694</v>
      </c>
    </row>
    <row r="21" spans="5:6" x14ac:dyDescent="0.3">
      <c r="E21" s="15" t="s">
        <v>148</v>
      </c>
      <c r="F21" s="15">
        <v>0.22145200000000001</v>
      </c>
    </row>
    <row r="22" spans="5:6" x14ac:dyDescent="0.3">
      <c r="E22" s="15" t="s">
        <v>149</v>
      </c>
      <c r="F22" s="15">
        <v>-970.19817899999998</v>
      </c>
    </row>
    <row r="23" spans="5:6" x14ac:dyDescent="0.3">
      <c r="E23" s="15" t="s">
        <v>150</v>
      </c>
      <c r="F23" s="15">
        <v>-970.18219799999997</v>
      </c>
    </row>
    <row r="24" spans="5:6" x14ac:dyDescent="0.3">
      <c r="E24" s="15" t="s">
        <v>151</v>
      </c>
      <c r="F24" s="15">
        <v>-970.18125399999997</v>
      </c>
    </row>
    <row r="25" spans="5:6" x14ac:dyDescent="0.3">
      <c r="E25" s="15" t="s">
        <v>152</v>
      </c>
      <c r="F25" s="15">
        <v>-970.24149599999998</v>
      </c>
    </row>
    <row r="28" spans="5:6" x14ac:dyDescent="0.3">
      <c r="E28" s="15" t="s">
        <v>289</v>
      </c>
    </row>
    <row r="29" spans="5:6" x14ac:dyDescent="0.3">
      <c r="E29" s="15" t="s">
        <v>270</v>
      </c>
      <c r="F29" s="15" t="s">
        <v>290</v>
      </c>
    </row>
    <row r="30" spans="5:6" x14ac:dyDescent="0.3">
      <c r="E30" s="15" t="s">
        <v>144</v>
      </c>
      <c r="F30" s="15" t="s">
        <v>291</v>
      </c>
    </row>
    <row r="31" spans="5:6" x14ac:dyDescent="0.3">
      <c r="E31" s="15" t="s">
        <v>146</v>
      </c>
      <c r="F31" s="15">
        <v>0.28777200000000003</v>
      </c>
    </row>
    <row r="32" spans="5:6" x14ac:dyDescent="0.3">
      <c r="E32" s="15" t="s">
        <v>147</v>
      </c>
      <c r="F32" s="15">
        <v>0.28871599999999997</v>
      </c>
    </row>
    <row r="33" spans="5:6" x14ac:dyDescent="0.3">
      <c r="E33" s="15" t="s">
        <v>148</v>
      </c>
      <c r="F33" s="15">
        <v>0.230742</v>
      </c>
    </row>
    <row r="34" spans="5:6" x14ac:dyDescent="0.3">
      <c r="E34" s="15" t="s">
        <v>149</v>
      </c>
      <c r="F34" s="15">
        <v>-970.19991400000004</v>
      </c>
    </row>
    <row r="35" spans="5:6" x14ac:dyDescent="0.3">
      <c r="E35" s="15" t="s">
        <v>150</v>
      </c>
      <c r="F35" s="15">
        <v>-970.18511799999999</v>
      </c>
    </row>
    <row r="36" spans="5:6" x14ac:dyDescent="0.3">
      <c r="E36" s="15" t="s">
        <v>151</v>
      </c>
      <c r="F36" s="15">
        <v>-970.18417399999998</v>
      </c>
    </row>
    <row r="37" spans="5:6" x14ac:dyDescent="0.3">
      <c r="E37" s="15" t="s">
        <v>152</v>
      </c>
      <c r="F37" s="15">
        <v>-970.24214800000004</v>
      </c>
    </row>
    <row r="40" spans="5:6" x14ac:dyDescent="0.3">
      <c r="E40" s="15" t="s">
        <v>292</v>
      </c>
    </row>
    <row r="41" spans="5:6" x14ac:dyDescent="0.3">
      <c r="E41" s="15" t="s">
        <v>270</v>
      </c>
      <c r="F41" s="15" t="s">
        <v>293</v>
      </c>
    </row>
    <row r="42" spans="5:6" x14ac:dyDescent="0.3">
      <c r="E42" s="15" t="s">
        <v>144</v>
      </c>
      <c r="F42" s="15" t="s">
        <v>294</v>
      </c>
    </row>
    <row r="43" spans="5:6" x14ac:dyDescent="0.3">
      <c r="E43" s="15" t="s">
        <v>146</v>
      </c>
      <c r="F43" s="15">
        <v>0.27494499999999999</v>
      </c>
    </row>
    <row r="44" spans="5:6" x14ac:dyDescent="0.3">
      <c r="E44" s="15" t="s">
        <v>147</v>
      </c>
      <c r="F44" s="15">
        <v>0.27589000000000002</v>
      </c>
    </row>
    <row r="45" spans="5:6" x14ac:dyDescent="0.3">
      <c r="E45" s="15" t="s">
        <v>148</v>
      </c>
      <c r="F45" s="15">
        <v>0.22405600000000001</v>
      </c>
    </row>
    <row r="46" spans="5:6" x14ac:dyDescent="0.3">
      <c r="E46" s="15" t="s">
        <v>149</v>
      </c>
      <c r="F46" s="15">
        <v>-970.19266200000004</v>
      </c>
    </row>
    <row r="47" spans="5:6" x14ac:dyDescent="0.3">
      <c r="E47" s="15" t="s">
        <v>150</v>
      </c>
      <c r="F47" s="15">
        <v>-970.18042400000002</v>
      </c>
    </row>
    <row r="48" spans="5:6" x14ac:dyDescent="0.3">
      <c r="E48" s="15" t="s">
        <v>151</v>
      </c>
      <c r="F48" s="15">
        <v>-970.17948000000001</v>
      </c>
    </row>
    <row r="49" spans="5:6" x14ac:dyDescent="0.3">
      <c r="E49" s="15" t="s">
        <v>152</v>
      </c>
      <c r="F49" s="15">
        <v>-970.231313</v>
      </c>
    </row>
    <row r="52" spans="5:6" x14ac:dyDescent="0.3">
      <c r="E52" s="15" t="s">
        <v>295</v>
      </c>
    </row>
    <row r="53" spans="5:6" x14ac:dyDescent="0.3">
      <c r="E53" s="15" t="s">
        <v>270</v>
      </c>
      <c r="F53" s="15" t="s">
        <v>296</v>
      </c>
    </row>
    <row r="54" spans="5:6" x14ac:dyDescent="0.3">
      <c r="E54" s="15" t="s">
        <v>144</v>
      </c>
      <c r="F54" s="15" t="s">
        <v>297</v>
      </c>
    </row>
    <row r="55" spans="5:6" x14ac:dyDescent="0.3">
      <c r="E55" s="15" t="s">
        <v>146</v>
      </c>
      <c r="F55" s="15">
        <v>0.29365999999999998</v>
      </c>
    </row>
    <row r="56" spans="5:6" x14ac:dyDescent="0.3">
      <c r="E56" s="15" t="s">
        <v>147</v>
      </c>
      <c r="F56" s="15">
        <v>0.29460399999999998</v>
      </c>
    </row>
    <row r="57" spans="5:6" x14ac:dyDescent="0.3">
      <c r="E57" s="15" t="s">
        <v>148</v>
      </c>
      <c r="F57" s="15">
        <v>0.24202399999999999</v>
      </c>
    </row>
    <row r="58" spans="5:6" x14ac:dyDescent="0.3">
      <c r="E58" s="15" t="s">
        <v>149</v>
      </c>
      <c r="F58" s="15">
        <v>-970.17019900000003</v>
      </c>
    </row>
    <row r="59" spans="5:6" x14ac:dyDescent="0.3">
      <c r="E59" s="15" t="s">
        <v>150</v>
      </c>
      <c r="F59" s="15">
        <v>-970.15770299999997</v>
      </c>
    </row>
    <row r="60" spans="5:6" x14ac:dyDescent="0.3">
      <c r="E60" s="15" t="s">
        <v>151</v>
      </c>
      <c r="F60" s="15">
        <v>-970.15675899999997</v>
      </c>
    </row>
    <row r="61" spans="5:6" x14ac:dyDescent="0.3">
      <c r="E61" s="15" t="s">
        <v>152</v>
      </c>
      <c r="F61" s="15">
        <v>-970.209339</v>
      </c>
    </row>
    <row r="64" spans="5:6" x14ac:dyDescent="0.3">
      <c r="E64" s="15" t="s">
        <v>298</v>
      </c>
    </row>
    <row r="65" spans="5:6" x14ac:dyDescent="0.3">
      <c r="E65" s="15" t="s">
        <v>270</v>
      </c>
      <c r="F65" s="15" t="s">
        <v>299</v>
      </c>
    </row>
    <row r="66" spans="5:6" x14ac:dyDescent="0.3">
      <c r="E66" s="15" t="s">
        <v>144</v>
      </c>
      <c r="F66" s="15" t="s">
        <v>300</v>
      </c>
    </row>
    <row r="67" spans="5:6" x14ac:dyDescent="0.3">
      <c r="E67" s="15" t="s">
        <v>146</v>
      </c>
      <c r="F67" s="15">
        <v>0.27159100000000003</v>
      </c>
    </row>
    <row r="68" spans="5:6" x14ac:dyDescent="0.3">
      <c r="E68" s="15" t="s">
        <v>147</v>
      </c>
      <c r="F68" s="15">
        <v>0.27253500000000003</v>
      </c>
    </row>
    <row r="69" spans="5:6" x14ac:dyDescent="0.3">
      <c r="E69" s="15" t="s">
        <v>148</v>
      </c>
      <c r="F69" s="15">
        <v>0.21135799999999999</v>
      </c>
    </row>
    <row r="70" spans="5:6" x14ac:dyDescent="0.3">
      <c r="E70" s="15" t="s">
        <v>149</v>
      </c>
      <c r="F70" s="15">
        <v>-969.82413099999997</v>
      </c>
    </row>
    <row r="71" spans="5:6" x14ac:dyDescent="0.3">
      <c r="E71" s="15" t="s">
        <v>150</v>
      </c>
      <c r="F71" s="15">
        <v>-969.80808500000001</v>
      </c>
    </row>
    <row r="72" spans="5:6" x14ac:dyDescent="0.3">
      <c r="E72" s="15" t="s">
        <v>151</v>
      </c>
      <c r="F72" s="15">
        <v>-969.807141</v>
      </c>
    </row>
    <row r="73" spans="5:6" x14ac:dyDescent="0.3">
      <c r="E73" s="15" t="s">
        <v>152</v>
      </c>
      <c r="F73" s="15">
        <v>-969.86831800000004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086F-D1E3-4F1A-8AC7-B718B480A97E}">
  <dimension ref="A1:F62"/>
  <sheetViews>
    <sheetView workbookViewId="0">
      <selection activeCell="F7" sqref="E7:F7"/>
    </sheetView>
    <sheetView workbookViewId="1"/>
  </sheetViews>
  <sheetFormatPr defaultRowHeight="14.4" x14ac:dyDescent="0.3"/>
  <cols>
    <col min="1" max="1" width="61.6640625" style="15" bestFit="1" customWidth="1"/>
    <col min="2" max="2" width="36" style="15" bestFit="1" customWidth="1"/>
    <col min="3" max="4" width="8.88671875" style="15"/>
    <col min="5" max="5" width="34.6640625" style="15" bestFit="1" customWidth="1"/>
    <col min="6" max="6" width="11.21875" style="15" bestFit="1" customWidth="1"/>
    <col min="7" max="16384" width="8.88671875" style="15"/>
  </cols>
  <sheetData>
    <row r="1" spans="1:6" x14ac:dyDescent="0.3">
      <c r="A1" s="15" t="s">
        <v>123</v>
      </c>
    </row>
    <row r="2" spans="1:6" x14ac:dyDescent="0.3">
      <c r="A2" s="15" t="s">
        <v>301</v>
      </c>
    </row>
    <row r="4" spans="1:6" ht="15" thickBot="1" x14ac:dyDescent="0.35">
      <c r="E4" s="15" t="str">
        <f>A5</f>
        <v>B3LYP_C2_NC3-CH3_corr-C2H-ON.out</v>
      </c>
      <c r="F4" s="15">
        <f>B14</f>
        <v>-970.45532700000001</v>
      </c>
    </row>
    <row r="5" spans="1:6" ht="15" thickBot="1" x14ac:dyDescent="0.35">
      <c r="A5" s="15" t="s">
        <v>302</v>
      </c>
      <c r="E5" s="117" t="str">
        <f>A17</f>
        <v>B3LYP_C2_NC3-CH3_corr-Hcap.out</v>
      </c>
      <c r="F5" s="118">
        <f>B26</f>
        <v>-970.45931900000005</v>
      </c>
    </row>
    <row r="6" spans="1:6" ht="15" thickBot="1" x14ac:dyDescent="0.35">
      <c r="A6" s="15" t="s">
        <v>142</v>
      </c>
      <c r="B6" s="15" t="s">
        <v>303</v>
      </c>
      <c r="E6" s="15" t="str">
        <f>A29</f>
        <v>B3LYP_C2_NC3-CH3_corr-OH_down.out</v>
      </c>
      <c r="F6" s="15">
        <f>B38</f>
        <v>-970.44538299999999</v>
      </c>
    </row>
    <row r="7" spans="1:6" ht="15" thickBot="1" x14ac:dyDescent="0.35">
      <c r="A7" s="15" t="s">
        <v>144</v>
      </c>
      <c r="B7" s="15" t="s">
        <v>304</v>
      </c>
      <c r="E7" s="117" t="str">
        <f>A41</f>
        <v>B3LYP_C2_NC3-CH3_corr-OH_up.out</v>
      </c>
      <c r="F7" s="118">
        <f>B50</f>
        <v>-970.45931800000005</v>
      </c>
    </row>
    <row r="8" spans="1:6" x14ac:dyDescent="0.3">
      <c r="A8" s="15" t="s">
        <v>146</v>
      </c>
      <c r="B8" s="15">
        <v>0.283331</v>
      </c>
      <c r="E8" s="15" t="str">
        <f>A53</f>
        <v>B3LYP_C2_NC3-CH3_corr_HI.out</v>
      </c>
      <c r="F8" s="15">
        <f>B62</f>
        <v>-970.14983600000005</v>
      </c>
    </row>
    <row r="9" spans="1:6" x14ac:dyDescent="0.3">
      <c r="A9" s="15" t="s">
        <v>147</v>
      </c>
      <c r="B9" s="15">
        <v>0.284275</v>
      </c>
    </row>
    <row r="10" spans="1:6" x14ac:dyDescent="0.3">
      <c r="A10" s="15" t="s">
        <v>148</v>
      </c>
      <c r="B10" s="15">
        <v>0.21631700000000001</v>
      </c>
    </row>
    <row r="11" spans="1:6" x14ac:dyDescent="0.3">
      <c r="A11" s="15" t="s">
        <v>149</v>
      </c>
      <c r="B11" s="15">
        <v>-970.40767700000004</v>
      </c>
    </row>
    <row r="12" spans="1:6" x14ac:dyDescent="0.3">
      <c r="A12" s="15" t="s">
        <v>150</v>
      </c>
      <c r="B12" s="15">
        <v>-970.38831300000004</v>
      </c>
    </row>
    <row r="13" spans="1:6" x14ac:dyDescent="0.3">
      <c r="A13" s="15" t="s">
        <v>151</v>
      </c>
      <c r="B13" s="15">
        <v>-970.38736900000004</v>
      </c>
    </row>
    <row r="14" spans="1:6" x14ac:dyDescent="0.3">
      <c r="A14" s="15" t="s">
        <v>152</v>
      </c>
      <c r="B14" s="15">
        <v>-970.45532700000001</v>
      </c>
    </row>
    <row r="17" spans="1:2" x14ac:dyDescent="0.3">
      <c r="A17" s="15" t="s">
        <v>305</v>
      </c>
    </row>
    <row r="18" spans="1:2" x14ac:dyDescent="0.3">
      <c r="A18" s="15" t="s">
        <v>142</v>
      </c>
      <c r="B18" s="15" t="s">
        <v>306</v>
      </c>
    </row>
    <row r="19" spans="1:2" x14ac:dyDescent="0.3">
      <c r="A19" s="15" t="s">
        <v>144</v>
      </c>
      <c r="B19" s="15" t="s">
        <v>307</v>
      </c>
    </row>
    <row r="20" spans="1:2" x14ac:dyDescent="0.3">
      <c r="A20" s="15" t="s">
        <v>146</v>
      </c>
      <c r="B20" s="15">
        <v>0.28347099999999997</v>
      </c>
    </row>
    <row r="21" spans="1:2" x14ac:dyDescent="0.3">
      <c r="A21" s="15" t="s">
        <v>147</v>
      </c>
      <c r="B21" s="15">
        <v>0.28441499999999997</v>
      </c>
    </row>
    <row r="22" spans="1:2" x14ac:dyDescent="0.3">
      <c r="A22" s="15" t="s">
        <v>148</v>
      </c>
      <c r="B22" s="15">
        <v>0.21785299999999999</v>
      </c>
    </row>
    <row r="23" spans="1:2" x14ac:dyDescent="0.3">
      <c r="A23" s="15" t="s">
        <v>149</v>
      </c>
      <c r="B23" s="15">
        <v>-970.41229399999997</v>
      </c>
    </row>
    <row r="24" spans="1:2" x14ac:dyDescent="0.3">
      <c r="A24" s="15" t="s">
        <v>150</v>
      </c>
      <c r="B24" s="15">
        <v>-970.39370199999996</v>
      </c>
    </row>
    <row r="25" spans="1:2" x14ac:dyDescent="0.3">
      <c r="A25" s="15" t="s">
        <v>151</v>
      </c>
      <c r="B25" s="15">
        <v>-970.39275699999996</v>
      </c>
    </row>
    <row r="26" spans="1:2" x14ac:dyDescent="0.3">
      <c r="A26" s="15" t="s">
        <v>152</v>
      </c>
      <c r="B26" s="15">
        <v>-970.45931900000005</v>
      </c>
    </row>
    <row r="29" spans="1:2" x14ac:dyDescent="0.3">
      <c r="A29" s="15" t="s">
        <v>308</v>
      </c>
    </row>
    <row r="30" spans="1:2" x14ac:dyDescent="0.3">
      <c r="A30" s="15" t="s">
        <v>142</v>
      </c>
      <c r="B30" s="15" t="s">
        <v>309</v>
      </c>
    </row>
    <row r="31" spans="1:2" x14ac:dyDescent="0.3">
      <c r="A31" s="15" t="s">
        <v>144</v>
      </c>
      <c r="B31" s="15" t="s">
        <v>310</v>
      </c>
    </row>
    <row r="32" spans="1:2" x14ac:dyDescent="0.3">
      <c r="A32" s="15" t="s">
        <v>146</v>
      </c>
      <c r="B32" s="15">
        <v>0.284051</v>
      </c>
    </row>
    <row r="33" spans="1:2" x14ac:dyDescent="0.3">
      <c r="A33" s="15" t="s">
        <v>147</v>
      </c>
      <c r="B33" s="15">
        <v>0.284995</v>
      </c>
    </row>
    <row r="34" spans="1:2" x14ac:dyDescent="0.3">
      <c r="A34" s="15" t="s">
        <v>148</v>
      </c>
      <c r="B34" s="15">
        <v>0.21712899999999999</v>
      </c>
    </row>
    <row r="35" spans="1:2" x14ac:dyDescent="0.3">
      <c r="A35" s="15" t="s">
        <v>149</v>
      </c>
      <c r="B35" s="15">
        <v>-970.39725899999996</v>
      </c>
    </row>
    <row r="36" spans="1:2" x14ac:dyDescent="0.3">
      <c r="A36" s="15" t="s">
        <v>150</v>
      </c>
      <c r="B36" s="15">
        <v>-970.37846100000002</v>
      </c>
    </row>
    <row r="37" spans="1:2" x14ac:dyDescent="0.3">
      <c r="A37" s="15" t="s">
        <v>151</v>
      </c>
      <c r="B37" s="15">
        <v>-970.37751700000001</v>
      </c>
    </row>
    <row r="38" spans="1:2" x14ac:dyDescent="0.3">
      <c r="A38" s="15" t="s">
        <v>152</v>
      </c>
      <c r="B38" s="15">
        <v>-970.44538299999999</v>
      </c>
    </row>
    <row r="41" spans="1:2" x14ac:dyDescent="0.3">
      <c r="A41" s="15" t="s">
        <v>311</v>
      </c>
    </row>
    <row r="42" spans="1:2" x14ac:dyDescent="0.3">
      <c r="A42" s="15" t="s">
        <v>142</v>
      </c>
      <c r="B42" s="15" t="s">
        <v>312</v>
      </c>
    </row>
    <row r="43" spans="1:2" x14ac:dyDescent="0.3">
      <c r="A43" s="15" t="s">
        <v>144</v>
      </c>
      <c r="B43" s="15" t="s">
        <v>307</v>
      </c>
    </row>
    <row r="44" spans="1:2" x14ac:dyDescent="0.3">
      <c r="A44" s="15" t="s">
        <v>146</v>
      </c>
      <c r="B44" s="15">
        <v>0.28347099999999997</v>
      </c>
    </row>
    <row r="45" spans="1:2" x14ac:dyDescent="0.3">
      <c r="A45" s="15" t="s">
        <v>147</v>
      </c>
      <c r="B45" s="15">
        <v>0.28441499999999997</v>
      </c>
    </row>
    <row r="46" spans="1:2" x14ac:dyDescent="0.3">
      <c r="A46" s="15" t="s">
        <v>148</v>
      </c>
      <c r="B46" s="15">
        <v>0.21785399999999999</v>
      </c>
    </row>
    <row r="47" spans="1:2" x14ac:dyDescent="0.3">
      <c r="A47" s="15" t="s">
        <v>149</v>
      </c>
      <c r="B47" s="15">
        <v>-970.41229299999998</v>
      </c>
    </row>
    <row r="48" spans="1:2" x14ac:dyDescent="0.3">
      <c r="A48" s="15" t="s">
        <v>150</v>
      </c>
      <c r="B48" s="15">
        <v>-970.39370099999996</v>
      </c>
    </row>
    <row r="49" spans="1:2" x14ac:dyDescent="0.3">
      <c r="A49" s="15" t="s">
        <v>151</v>
      </c>
      <c r="B49" s="15">
        <v>-970.39275699999996</v>
      </c>
    </row>
    <row r="50" spans="1:2" x14ac:dyDescent="0.3">
      <c r="A50" s="15" t="s">
        <v>152</v>
      </c>
      <c r="B50" s="15">
        <v>-970.45931800000005</v>
      </c>
    </row>
    <row r="53" spans="1:2" x14ac:dyDescent="0.3">
      <c r="A53" s="15" t="s">
        <v>313</v>
      </c>
    </row>
    <row r="54" spans="1:2" x14ac:dyDescent="0.3">
      <c r="A54" s="15" t="s">
        <v>142</v>
      </c>
      <c r="B54" s="15" t="s">
        <v>314</v>
      </c>
    </row>
    <row r="55" spans="1:2" x14ac:dyDescent="0.3">
      <c r="A55" s="15" t="s">
        <v>144</v>
      </c>
      <c r="B55" s="15" t="s">
        <v>315</v>
      </c>
    </row>
    <row r="56" spans="1:2" x14ac:dyDescent="0.3">
      <c r="A56" s="15" t="s">
        <v>146</v>
      </c>
      <c r="B56" s="15">
        <v>0.27148600000000001</v>
      </c>
    </row>
    <row r="57" spans="1:2" x14ac:dyDescent="0.3">
      <c r="A57" s="15" t="s">
        <v>147</v>
      </c>
      <c r="B57" s="15">
        <v>0.27243000000000001</v>
      </c>
    </row>
    <row r="58" spans="1:2" x14ac:dyDescent="0.3">
      <c r="A58" s="15" t="s">
        <v>148</v>
      </c>
      <c r="B58" s="15">
        <v>0.20560899999999999</v>
      </c>
    </row>
    <row r="59" spans="1:2" x14ac:dyDescent="0.3">
      <c r="A59" s="15" t="s">
        <v>149</v>
      </c>
      <c r="B59" s="15">
        <v>-970.10238200000003</v>
      </c>
    </row>
    <row r="60" spans="1:2" x14ac:dyDescent="0.3">
      <c r="A60" s="15" t="s">
        <v>150</v>
      </c>
      <c r="B60" s="15">
        <v>-970.08395900000005</v>
      </c>
    </row>
    <row r="61" spans="1:2" x14ac:dyDescent="0.3">
      <c r="A61" s="15" t="s">
        <v>151</v>
      </c>
      <c r="B61" s="15">
        <v>-970.08301500000005</v>
      </c>
    </row>
    <row r="62" spans="1:2" x14ac:dyDescent="0.3">
      <c r="A62" s="15" t="s">
        <v>152</v>
      </c>
      <c r="B62" s="15">
        <v>-970.14983600000005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13FB-9941-472E-B0F3-68D9AB398D71}">
  <dimension ref="E4:G72"/>
  <sheetViews>
    <sheetView workbookViewId="0">
      <selection activeCell="E11" sqref="E11:F72"/>
    </sheetView>
    <sheetView workbookViewId="1"/>
  </sheetViews>
  <sheetFormatPr defaultRowHeight="14.4" x14ac:dyDescent="0.3"/>
  <cols>
    <col min="1" max="1" width="65.77734375" style="15" bestFit="1" customWidth="1"/>
    <col min="2" max="2" width="36" style="15" bestFit="1" customWidth="1"/>
    <col min="3" max="4" width="8.88671875" style="15"/>
    <col min="5" max="5" width="36.44140625" style="15" bestFit="1" customWidth="1"/>
    <col min="6" max="6" width="11.21875" style="15" bestFit="1" customWidth="1"/>
    <col min="7" max="16384" width="8.88671875" style="15"/>
  </cols>
  <sheetData>
    <row r="4" spans="5:7" ht="15" thickBot="1" x14ac:dyDescent="0.35">
      <c r="E4" s="15" t="str">
        <f>E15</f>
        <v>s_B3LYP_C2_NC3-CH3_corr-C2H-ON.out</v>
      </c>
      <c r="F4" s="122">
        <f>F24</f>
        <v>-970.52589699999999</v>
      </c>
      <c r="G4" s="122" t="s">
        <v>367</v>
      </c>
    </row>
    <row r="5" spans="5:7" ht="15" thickBot="1" x14ac:dyDescent="0.35">
      <c r="E5" s="117" t="str">
        <f>E27</f>
        <v>s_B3LYP_C2_NC3-CH3_corr-Hcap.out</v>
      </c>
      <c r="F5" s="118">
        <f>F36</f>
        <v>-970.54566799999998</v>
      </c>
    </row>
    <row r="6" spans="5:7" x14ac:dyDescent="0.3">
      <c r="E6" s="15" t="str">
        <f>E39</f>
        <v>s_B3LYP_C2_NC3-CH3_corr-OH_down.out</v>
      </c>
      <c r="F6" s="122">
        <f>F48</f>
        <v>-970.525305</v>
      </c>
    </row>
    <row r="7" spans="5:7" x14ac:dyDescent="0.3">
      <c r="E7" s="15" t="str">
        <f>E51</f>
        <v>s_B3LYP_C2_NC3-CH3_corr-OH_up.out</v>
      </c>
      <c r="F7" s="15">
        <f>F60</f>
        <v>-970.51949100000002</v>
      </c>
    </row>
    <row r="8" spans="5:7" x14ac:dyDescent="0.3">
      <c r="E8" s="15" t="str">
        <f>E63</f>
        <v>s_B3LYP_C2_NC3-CH3_corr_HI.out</v>
      </c>
      <c r="F8" s="15">
        <f>F72</f>
        <v>-970.16409999999996</v>
      </c>
    </row>
    <row r="11" spans="5:7" x14ac:dyDescent="0.3">
      <c r="E11" s="15" t="s">
        <v>404</v>
      </c>
    </row>
    <row r="12" spans="5:7" x14ac:dyDescent="0.3">
      <c r="E12" s="15" t="s">
        <v>316</v>
      </c>
    </row>
    <row r="15" spans="5:7" x14ac:dyDescent="0.3">
      <c r="E15" s="15" t="s">
        <v>317</v>
      </c>
    </row>
    <row r="16" spans="5:7" x14ac:dyDescent="0.3">
      <c r="E16" s="15" t="s">
        <v>142</v>
      </c>
      <c r="F16" s="15" t="s">
        <v>318</v>
      </c>
    </row>
    <row r="17" spans="5:6" x14ac:dyDescent="0.3">
      <c r="E17" s="15" t="s">
        <v>144</v>
      </c>
      <c r="F17" s="15" t="s">
        <v>319</v>
      </c>
    </row>
    <row r="18" spans="5:6" x14ac:dyDescent="0.3">
      <c r="E18" s="15" t="s">
        <v>146</v>
      </c>
      <c r="F18" s="15">
        <v>0.28673999999999999</v>
      </c>
    </row>
    <row r="19" spans="5:6" x14ac:dyDescent="0.3">
      <c r="E19" s="15" t="s">
        <v>147</v>
      </c>
      <c r="F19" s="15">
        <v>0.28768500000000002</v>
      </c>
    </row>
    <row r="20" spans="5:6" x14ac:dyDescent="0.3">
      <c r="E20" s="15" t="s">
        <v>148</v>
      </c>
      <c r="F20" s="15">
        <v>0.22588800000000001</v>
      </c>
    </row>
    <row r="21" spans="5:6" x14ac:dyDescent="0.3">
      <c r="E21" s="15" t="s">
        <v>149</v>
      </c>
      <c r="F21" s="15">
        <v>-970.48173699999995</v>
      </c>
    </row>
    <row r="22" spans="5:6" x14ac:dyDescent="0.3">
      <c r="E22" s="15" t="s">
        <v>150</v>
      </c>
      <c r="F22" s="15">
        <v>-970.46504500000003</v>
      </c>
    </row>
    <row r="23" spans="5:6" x14ac:dyDescent="0.3">
      <c r="E23" s="15" t="s">
        <v>151</v>
      </c>
      <c r="F23" s="15">
        <v>-970.46410100000003</v>
      </c>
    </row>
    <row r="24" spans="5:6" x14ac:dyDescent="0.3">
      <c r="E24" s="15" t="s">
        <v>152</v>
      </c>
      <c r="F24" s="15">
        <v>-970.52589699999999</v>
      </c>
    </row>
    <row r="27" spans="5:6" x14ac:dyDescent="0.3">
      <c r="E27" s="15" t="s">
        <v>320</v>
      </c>
    </row>
    <row r="28" spans="5:6" x14ac:dyDescent="0.3">
      <c r="E28" s="15" t="s">
        <v>142</v>
      </c>
      <c r="F28" s="15" t="s">
        <v>321</v>
      </c>
    </row>
    <row r="29" spans="5:6" x14ac:dyDescent="0.3">
      <c r="E29" s="15" t="s">
        <v>144</v>
      </c>
      <c r="F29" s="15" t="s">
        <v>322</v>
      </c>
    </row>
    <row r="30" spans="5:6" x14ac:dyDescent="0.3">
      <c r="E30" s="15" t="s">
        <v>146</v>
      </c>
      <c r="F30" s="15">
        <v>0.27444200000000002</v>
      </c>
    </row>
    <row r="31" spans="5:6" x14ac:dyDescent="0.3">
      <c r="E31" s="15" t="s">
        <v>147</v>
      </c>
      <c r="F31" s="15">
        <v>0.27538600000000002</v>
      </c>
    </row>
    <row r="32" spans="5:6" x14ac:dyDescent="0.3">
      <c r="E32" s="15" t="s">
        <v>148</v>
      </c>
      <c r="F32" s="15">
        <v>0.21668200000000001</v>
      </c>
    </row>
    <row r="33" spans="5:6" x14ac:dyDescent="0.3">
      <c r="E33" s="15" t="s">
        <v>149</v>
      </c>
      <c r="F33" s="15">
        <v>-970.50334799999996</v>
      </c>
    </row>
    <row r="34" spans="5:6" x14ac:dyDescent="0.3">
      <c r="E34" s="15" t="s">
        <v>150</v>
      </c>
      <c r="F34" s="15">
        <v>-970.48790899999995</v>
      </c>
    </row>
    <row r="35" spans="5:6" x14ac:dyDescent="0.3">
      <c r="E35" s="15" t="s">
        <v>151</v>
      </c>
      <c r="F35" s="15">
        <v>-970.48696399999994</v>
      </c>
    </row>
    <row r="36" spans="5:6" x14ac:dyDescent="0.3">
      <c r="E36" s="15" t="s">
        <v>152</v>
      </c>
      <c r="F36" s="15">
        <v>-970.54566799999998</v>
      </c>
    </row>
    <row r="39" spans="5:6" x14ac:dyDescent="0.3">
      <c r="E39" s="15" t="s">
        <v>323</v>
      </c>
    </row>
    <row r="40" spans="5:6" x14ac:dyDescent="0.3">
      <c r="E40" s="15" t="s">
        <v>142</v>
      </c>
      <c r="F40" s="15" t="s">
        <v>324</v>
      </c>
    </row>
    <row r="41" spans="5:6" x14ac:dyDescent="0.3">
      <c r="E41" s="15" t="s">
        <v>144</v>
      </c>
      <c r="F41" s="15" t="s">
        <v>325</v>
      </c>
    </row>
    <row r="42" spans="5:6" x14ac:dyDescent="0.3">
      <c r="E42" s="15" t="s">
        <v>146</v>
      </c>
      <c r="F42" s="15">
        <v>0.274256</v>
      </c>
    </row>
    <row r="43" spans="5:6" x14ac:dyDescent="0.3">
      <c r="E43" s="15" t="s">
        <v>147</v>
      </c>
      <c r="F43" s="15">
        <v>0.2752</v>
      </c>
    </row>
    <row r="44" spans="5:6" x14ac:dyDescent="0.3">
      <c r="E44" s="15" t="s">
        <v>148</v>
      </c>
      <c r="F44" s="15">
        <v>0.218831</v>
      </c>
    </row>
    <row r="45" spans="5:6" x14ac:dyDescent="0.3">
      <c r="E45" s="15" t="s">
        <v>149</v>
      </c>
      <c r="F45" s="15">
        <v>-970.48385399999995</v>
      </c>
    </row>
    <row r="46" spans="5:6" x14ac:dyDescent="0.3">
      <c r="E46" s="15" t="s">
        <v>150</v>
      </c>
      <c r="F46" s="15">
        <v>-970.46988099999999</v>
      </c>
    </row>
    <row r="47" spans="5:6" x14ac:dyDescent="0.3">
      <c r="E47" s="15" t="s">
        <v>151</v>
      </c>
      <c r="F47" s="15">
        <v>-970.46893699999998</v>
      </c>
    </row>
    <row r="48" spans="5:6" x14ac:dyDescent="0.3">
      <c r="E48" s="15" t="s">
        <v>152</v>
      </c>
      <c r="F48" s="15">
        <v>-970.525305</v>
      </c>
    </row>
    <row r="51" spans="5:6" x14ac:dyDescent="0.3">
      <c r="E51" s="15" t="s">
        <v>326</v>
      </c>
    </row>
    <row r="52" spans="5:6" x14ac:dyDescent="0.3">
      <c r="E52" s="15" t="s">
        <v>142</v>
      </c>
      <c r="F52" s="15" t="s">
        <v>327</v>
      </c>
    </row>
    <row r="53" spans="5:6" x14ac:dyDescent="0.3">
      <c r="E53" s="15" t="s">
        <v>144</v>
      </c>
      <c r="F53" s="15" t="s">
        <v>328</v>
      </c>
    </row>
    <row r="54" spans="5:6" x14ac:dyDescent="0.3">
      <c r="E54" s="15" t="s">
        <v>146</v>
      </c>
      <c r="F54" s="15">
        <v>0.27394000000000002</v>
      </c>
    </row>
    <row r="55" spans="5:6" x14ac:dyDescent="0.3">
      <c r="E55" s="15" t="s">
        <v>147</v>
      </c>
      <c r="F55" s="15">
        <v>0.27488400000000002</v>
      </c>
    </row>
    <row r="56" spans="5:6" x14ac:dyDescent="0.3">
      <c r="E56" s="15" t="s">
        <v>148</v>
      </c>
      <c r="F56" s="15">
        <v>0.22076899999999999</v>
      </c>
    </row>
    <row r="57" spans="5:6" x14ac:dyDescent="0.3">
      <c r="E57" s="15" t="s">
        <v>149</v>
      </c>
      <c r="F57" s="15">
        <v>-970.47949500000004</v>
      </c>
    </row>
    <row r="58" spans="5:6" x14ac:dyDescent="0.3">
      <c r="E58" s="15" t="s">
        <v>150</v>
      </c>
      <c r="F58" s="15">
        <v>-970.46632</v>
      </c>
    </row>
    <row r="59" spans="5:6" x14ac:dyDescent="0.3">
      <c r="E59" s="15" t="s">
        <v>151</v>
      </c>
      <c r="F59" s="15">
        <v>-970.46537599999999</v>
      </c>
    </row>
    <row r="60" spans="5:6" x14ac:dyDescent="0.3">
      <c r="E60" s="15" t="s">
        <v>152</v>
      </c>
      <c r="F60" s="15">
        <v>-970.51949100000002</v>
      </c>
    </row>
    <row r="63" spans="5:6" x14ac:dyDescent="0.3">
      <c r="E63" s="15" t="s">
        <v>329</v>
      </c>
    </row>
    <row r="64" spans="5:6" x14ac:dyDescent="0.3">
      <c r="E64" s="15" t="s">
        <v>142</v>
      </c>
      <c r="F64" s="15" t="s">
        <v>330</v>
      </c>
    </row>
    <row r="65" spans="5:6" x14ac:dyDescent="0.3">
      <c r="E65" s="15" t="s">
        <v>144</v>
      </c>
      <c r="F65" s="15" t="s">
        <v>331</v>
      </c>
    </row>
    <row r="66" spans="5:6" x14ac:dyDescent="0.3">
      <c r="E66" s="15" t="s">
        <v>146</v>
      </c>
      <c r="F66" s="15">
        <v>0.26836199999999999</v>
      </c>
    </row>
    <row r="67" spans="5:6" x14ac:dyDescent="0.3">
      <c r="E67" s="15" t="s">
        <v>147</v>
      </c>
      <c r="F67" s="15">
        <v>0.26930599999999999</v>
      </c>
    </row>
    <row r="68" spans="5:6" x14ac:dyDescent="0.3">
      <c r="E68" s="15" t="s">
        <v>148</v>
      </c>
      <c r="F68" s="15">
        <v>0.20782800000000001</v>
      </c>
    </row>
    <row r="69" spans="5:6" x14ac:dyDescent="0.3">
      <c r="E69" s="15" t="s">
        <v>149</v>
      </c>
      <c r="F69" s="15">
        <v>-970.11975299999995</v>
      </c>
    </row>
    <row r="70" spans="5:6" x14ac:dyDescent="0.3">
      <c r="E70" s="15" t="s">
        <v>150</v>
      </c>
      <c r="F70" s="15">
        <v>-970.103566</v>
      </c>
    </row>
    <row r="71" spans="5:6" x14ac:dyDescent="0.3">
      <c r="E71" s="15" t="s">
        <v>151</v>
      </c>
      <c r="F71" s="15">
        <v>-970.102621</v>
      </c>
    </row>
    <row r="72" spans="5:6" x14ac:dyDescent="0.3">
      <c r="E72" s="15" t="s">
        <v>152</v>
      </c>
      <c r="F72" s="15">
        <v>-970.16409999999996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EC789-1E8F-44C0-A279-BC9153D8949E}">
  <dimension ref="A1:F62"/>
  <sheetViews>
    <sheetView workbookViewId="0">
      <selection activeCell="G4" sqref="G4"/>
    </sheetView>
    <sheetView workbookViewId="1"/>
  </sheetViews>
  <sheetFormatPr defaultRowHeight="14.4" x14ac:dyDescent="0.3"/>
  <cols>
    <col min="1" max="1" width="60.33203125" style="15" bestFit="1" customWidth="1"/>
    <col min="2" max="2" width="36" style="15" bestFit="1" customWidth="1"/>
    <col min="3" max="4" width="8.88671875" style="15"/>
    <col min="5" max="5" width="33.21875" style="15" bestFit="1" customWidth="1"/>
    <col min="6" max="6" width="11.21875" style="15" bestFit="1" customWidth="1"/>
    <col min="7" max="16384" width="8.88671875" style="15"/>
  </cols>
  <sheetData>
    <row r="1" spans="1:6" x14ac:dyDescent="0.3">
      <c r="A1" s="15" t="s">
        <v>123</v>
      </c>
    </row>
    <row r="2" spans="1:6" x14ac:dyDescent="0.3">
      <c r="A2" s="15" t="s">
        <v>332</v>
      </c>
    </row>
    <row r="4" spans="1:6" ht="15" thickBot="1" x14ac:dyDescent="0.35">
      <c r="E4" s="15" t="str">
        <f>A5</f>
        <v>MP2_C2_NC3-CH3_corr-C2H-ON.out</v>
      </c>
      <c r="F4" s="15">
        <f>B14</f>
        <v>-968.32954400000006</v>
      </c>
    </row>
    <row r="5" spans="1:6" ht="15" thickBot="1" x14ac:dyDescent="0.35">
      <c r="A5" s="15" t="s">
        <v>333</v>
      </c>
      <c r="E5" s="117" t="str">
        <f>A17</f>
        <v>MP2_C2_NC3-CH3_corr-Hcap.out</v>
      </c>
      <c r="F5" s="118">
        <f>B26</f>
        <v>-968.30762800000002</v>
      </c>
    </row>
    <row r="6" spans="1:6" ht="15" thickBot="1" x14ac:dyDescent="0.35">
      <c r="A6" s="15" t="s">
        <v>159</v>
      </c>
      <c r="B6" s="15" t="s">
        <v>334</v>
      </c>
      <c r="E6" s="15" t="str">
        <f>A29</f>
        <v>MP2_C2_NC3-CH3_corr-OH_down.out</v>
      </c>
      <c r="F6" s="15">
        <f>B38</f>
        <v>-968.291968</v>
      </c>
    </row>
    <row r="7" spans="1:6" ht="15" thickBot="1" x14ac:dyDescent="0.35">
      <c r="A7" s="15" t="s">
        <v>144</v>
      </c>
      <c r="B7" s="15" t="s">
        <v>335</v>
      </c>
      <c r="E7" s="117" t="str">
        <f>A41</f>
        <v>MP2_C2_NC3-CH3_corr-OH_up.out</v>
      </c>
      <c r="F7" s="118">
        <f>B50</f>
        <v>-968.30762500000003</v>
      </c>
    </row>
    <row r="8" spans="1:6" x14ac:dyDescent="0.3">
      <c r="A8" s="15" t="s">
        <v>146</v>
      </c>
      <c r="B8" s="15">
        <v>0.28846100000000002</v>
      </c>
      <c r="E8" s="15" t="str">
        <f>A53</f>
        <v>MP2_C2_NC3-CH3_corr_HI.out</v>
      </c>
      <c r="F8" s="15">
        <f>B62</f>
        <v>-968.00522699999999</v>
      </c>
    </row>
    <row r="9" spans="1:6" x14ac:dyDescent="0.3">
      <c r="A9" s="15" t="s">
        <v>147</v>
      </c>
      <c r="B9" s="15">
        <v>0.28940500000000002</v>
      </c>
    </row>
    <row r="10" spans="1:6" x14ac:dyDescent="0.3">
      <c r="A10" s="15" t="s">
        <v>148</v>
      </c>
      <c r="B10" s="15">
        <v>0.221637</v>
      </c>
    </row>
    <row r="11" spans="1:6" x14ac:dyDescent="0.3">
      <c r="A11" s="15" t="s">
        <v>149</v>
      </c>
      <c r="B11" s="15">
        <v>-968.28198299999997</v>
      </c>
    </row>
    <row r="12" spans="1:6" x14ac:dyDescent="0.3">
      <c r="A12" s="15" t="s">
        <v>150</v>
      </c>
      <c r="B12" s="15">
        <v>-968.26272100000006</v>
      </c>
    </row>
    <row r="13" spans="1:6" x14ac:dyDescent="0.3">
      <c r="A13" s="15" t="s">
        <v>151</v>
      </c>
      <c r="B13" s="15">
        <v>-968.26177600000005</v>
      </c>
    </row>
    <row r="14" spans="1:6" x14ac:dyDescent="0.3">
      <c r="A14" s="15" t="s">
        <v>152</v>
      </c>
      <c r="B14" s="15">
        <v>-968.32954400000006</v>
      </c>
    </row>
    <row r="17" spans="1:2" x14ac:dyDescent="0.3">
      <c r="A17" s="15" t="s">
        <v>336</v>
      </c>
    </row>
    <row r="18" spans="1:2" x14ac:dyDescent="0.3">
      <c r="A18" s="15" t="s">
        <v>159</v>
      </c>
      <c r="B18" s="15" t="s">
        <v>337</v>
      </c>
    </row>
    <row r="19" spans="1:2" x14ac:dyDescent="0.3">
      <c r="A19" s="15" t="s">
        <v>144</v>
      </c>
      <c r="B19" s="15" t="s">
        <v>338</v>
      </c>
    </row>
    <row r="20" spans="1:2" x14ac:dyDescent="0.3">
      <c r="A20" s="15" t="s">
        <v>146</v>
      </c>
      <c r="B20" s="15">
        <v>0.28823199999999999</v>
      </c>
    </row>
    <row r="21" spans="1:2" x14ac:dyDescent="0.3">
      <c r="A21" s="15" t="s">
        <v>147</v>
      </c>
      <c r="B21" s="15">
        <v>0.28917599999999999</v>
      </c>
    </row>
    <row r="22" spans="1:2" x14ac:dyDescent="0.3">
      <c r="A22" s="15" t="s">
        <v>148</v>
      </c>
      <c r="B22" s="15">
        <v>0.223441</v>
      </c>
    </row>
    <row r="23" spans="1:2" x14ac:dyDescent="0.3">
      <c r="A23" s="15" t="s">
        <v>149</v>
      </c>
      <c r="B23" s="15">
        <v>-968.26111100000003</v>
      </c>
    </row>
    <row r="24" spans="1:2" x14ac:dyDescent="0.3">
      <c r="A24" s="15" t="s">
        <v>150</v>
      </c>
      <c r="B24" s="15">
        <v>-968.24283700000001</v>
      </c>
    </row>
    <row r="25" spans="1:2" x14ac:dyDescent="0.3">
      <c r="A25" s="15" t="s">
        <v>151</v>
      </c>
      <c r="B25" s="15">
        <v>-968.241893</v>
      </c>
    </row>
    <row r="26" spans="1:2" x14ac:dyDescent="0.3">
      <c r="A26" s="15" t="s">
        <v>152</v>
      </c>
      <c r="B26" s="15">
        <v>-968.30762800000002</v>
      </c>
    </row>
    <row r="29" spans="1:2" x14ac:dyDescent="0.3">
      <c r="A29" s="15" t="s">
        <v>339</v>
      </c>
    </row>
    <row r="30" spans="1:2" x14ac:dyDescent="0.3">
      <c r="A30" s="15" t="s">
        <v>159</v>
      </c>
      <c r="B30" s="15" t="s">
        <v>340</v>
      </c>
    </row>
    <row r="31" spans="1:2" x14ac:dyDescent="0.3">
      <c r="A31" s="15" t="s">
        <v>144</v>
      </c>
      <c r="B31" s="15" t="s">
        <v>341</v>
      </c>
    </row>
    <row r="32" spans="1:2" x14ac:dyDescent="0.3">
      <c r="A32" s="15" t="s">
        <v>146</v>
      </c>
      <c r="B32" s="15">
        <v>0.28875299999999998</v>
      </c>
    </row>
    <row r="33" spans="1:2" x14ac:dyDescent="0.3">
      <c r="A33" s="15" t="s">
        <v>147</v>
      </c>
      <c r="B33" s="15">
        <v>0.28969699999999998</v>
      </c>
    </row>
    <row r="34" spans="1:2" x14ac:dyDescent="0.3">
      <c r="A34" s="15" t="s">
        <v>148</v>
      </c>
      <c r="B34" s="15">
        <v>0.22383800000000001</v>
      </c>
    </row>
    <row r="35" spans="1:2" x14ac:dyDescent="0.3">
      <c r="A35" s="15" t="s">
        <v>149</v>
      </c>
      <c r="B35" s="15">
        <v>-968.24537599999996</v>
      </c>
    </row>
    <row r="36" spans="1:2" x14ac:dyDescent="0.3">
      <c r="A36" s="15" t="s">
        <v>150</v>
      </c>
      <c r="B36" s="15">
        <v>-968.22705299999996</v>
      </c>
    </row>
    <row r="37" spans="1:2" x14ac:dyDescent="0.3">
      <c r="A37" s="15" t="s">
        <v>151</v>
      </c>
      <c r="B37" s="15">
        <v>-968.22610899999995</v>
      </c>
    </row>
    <row r="38" spans="1:2" x14ac:dyDescent="0.3">
      <c r="A38" s="15" t="s">
        <v>152</v>
      </c>
      <c r="B38" s="15">
        <v>-968.291968</v>
      </c>
    </row>
    <row r="41" spans="1:2" x14ac:dyDescent="0.3">
      <c r="A41" s="15" t="s">
        <v>342</v>
      </c>
    </row>
    <row r="42" spans="1:2" x14ac:dyDescent="0.3">
      <c r="A42" s="15" t="s">
        <v>159</v>
      </c>
      <c r="B42" s="15" t="s">
        <v>343</v>
      </c>
    </row>
    <row r="43" spans="1:2" x14ac:dyDescent="0.3">
      <c r="A43" s="15" t="s">
        <v>144</v>
      </c>
      <c r="B43" s="15" t="s">
        <v>338</v>
      </c>
    </row>
    <row r="44" spans="1:2" x14ac:dyDescent="0.3">
      <c r="A44" s="15" t="s">
        <v>146</v>
      </c>
      <c r="B44" s="15">
        <v>0.28823100000000001</v>
      </c>
    </row>
    <row r="45" spans="1:2" x14ac:dyDescent="0.3">
      <c r="A45" s="15" t="s">
        <v>147</v>
      </c>
      <c r="B45" s="15">
        <v>0.28917500000000002</v>
      </c>
    </row>
    <row r="46" spans="1:2" x14ac:dyDescent="0.3">
      <c r="A46" s="15" t="s">
        <v>148</v>
      </c>
      <c r="B46" s="15">
        <v>0.223445</v>
      </c>
    </row>
    <row r="47" spans="1:2" x14ac:dyDescent="0.3">
      <c r="A47" s="15" t="s">
        <v>149</v>
      </c>
      <c r="B47" s="15">
        <v>-968.26111100000003</v>
      </c>
    </row>
    <row r="48" spans="1:2" x14ac:dyDescent="0.3">
      <c r="A48" s="15" t="s">
        <v>150</v>
      </c>
      <c r="B48" s="15">
        <v>-968.24283800000001</v>
      </c>
    </row>
    <row r="49" spans="1:2" x14ac:dyDescent="0.3">
      <c r="A49" s="15" t="s">
        <v>151</v>
      </c>
      <c r="B49" s="15">
        <v>-968.241894</v>
      </c>
    </row>
    <row r="50" spans="1:2" x14ac:dyDescent="0.3">
      <c r="A50" s="15" t="s">
        <v>152</v>
      </c>
      <c r="B50" s="15">
        <v>-968.30762500000003</v>
      </c>
    </row>
    <row r="53" spans="1:2" x14ac:dyDescent="0.3">
      <c r="A53" s="15" t="s">
        <v>344</v>
      </c>
    </row>
    <row r="54" spans="1:2" x14ac:dyDescent="0.3">
      <c r="A54" s="15" t="s">
        <v>159</v>
      </c>
      <c r="B54" s="15" t="s">
        <v>345</v>
      </c>
    </row>
    <row r="55" spans="1:2" x14ac:dyDescent="0.3">
      <c r="A55" s="15" t="s">
        <v>144</v>
      </c>
      <c r="B55" s="15" t="s">
        <v>346</v>
      </c>
    </row>
    <row r="56" spans="1:2" x14ac:dyDescent="0.3">
      <c r="A56" s="15" t="s">
        <v>146</v>
      </c>
      <c r="B56" s="15">
        <v>0.27581899999999998</v>
      </c>
    </row>
    <row r="57" spans="1:2" x14ac:dyDescent="0.3">
      <c r="A57" s="15" t="s">
        <v>147</v>
      </c>
      <c r="B57" s="15">
        <v>0.27676299999999998</v>
      </c>
    </row>
    <row r="58" spans="1:2" x14ac:dyDescent="0.3">
      <c r="A58" s="15" t="s">
        <v>148</v>
      </c>
      <c r="B58" s="15">
        <v>0.21059600000000001</v>
      </c>
    </row>
    <row r="59" spans="1:2" x14ac:dyDescent="0.3">
      <c r="A59" s="15" t="s">
        <v>149</v>
      </c>
      <c r="B59" s="15">
        <v>-967.95818799999995</v>
      </c>
    </row>
    <row r="60" spans="1:2" x14ac:dyDescent="0.3">
      <c r="A60" s="15" t="s">
        <v>150</v>
      </c>
      <c r="B60" s="15">
        <v>-967.94000500000004</v>
      </c>
    </row>
    <row r="61" spans="1:2" x14ac:dyDescent="0.3">
      <c r="A61" s="15" t="s">
        <v>151</v>
      </c>
      <c r="B61" s="15">
        <v>-967.93906000000004</v>
      </c>
    </row>
    <row r="62" spans="1:2" x14ac:dyDescent="0.3">
      <c r="A62" s="15" t="s">
        <v>152</v>
      </c>
      <c r="B62" s="15">
        <v>-968.00522699999999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AF5D-0843-4EE8-B646-CC4F2452F1F8}">
  <dimension ref="A1:F62"/>
  <sheetViews>
    <sheetView zoomScale="109" workbookViewId="0">
      <selection activeCell="G10" sqref="G10"/>
    </sheetView>
    <sheetView workbookViewId="1"/>
  </sheetViews>
  <sheetFormatPr defaultRowHeight="14.4" x14ac:dyDescent="0.3"/>
  <cols>
    <col min="1" max="1" width="64.5546875" style="15" bestFit="1" customWidth="1"/>
    <col min="2" max="2" width="36" style="15" bestFit="1" customWidth="1"/>
    <col min="3" max="4" width="8.88671875" style="15"/>
    <col min="5" max="5" width="32.88671875" style="15" bestFit="1" customWidth="1"/>
    <col min="6" max="6" width="11.21875" style="15" bestFit="1" customWidth="1"/>
    <col min="7" max="16384" width="8.88671875" style="15"/>
  </cols>
  <sheetData>
    <row r="1" spans="1:6" x14ac:dyDescent="0.3">
      <c r="A1" s="15" t="s">
        <v>123</v>
      </c>
    </row>
    <row r="2" spans="1:6" x14ac:dyDescent="0.3">
      <c r="A2" s="15" t="s">
        <v>347</v>
      </c>
    </row>
    <row r="4" spans="1:6" ht="15" thickBot="1" x14ac:dyDescent="0.35">
      <c r="E4" s="15" t="str">
        <f>A5</f>
        <v>smd_C2_NC3-CH3_corr-C2H-ON.out</v>
      </c>
      <c r="F4" s="15">
        <f>B14</f>
        <v>-970.25550199999998</v>
      </c>
    </row>
    <row r="5" spans="1:6" ht="15" thickBot="1" x14ac:dyDescent="0.35">
      <c r="A5" s="15" t="s">
        <v>348</v>
      </c>
      <c r="E5" s="117" t="str">
        <f>A17</f>
        <v>smd_C2_NC3-CH3_corr-Hcap.out</v>
      </c>
      <c r="F5" s="118">
        <f>B26</f>
        <v>-970.27236000000005</v>
      </c>
    </row>
    <row r="6" spans="1:6" x14ac:dyDescent="0.3">
      <c r="A6" s="15" t="s">
        <v>270</v>
      </c>
      <c r="B6" s="15" t="s">
        <v>349</v>
      </c>
      <c r="E6" s="15" t="str">
        <f>A29</f>
        <v>smd_C2_NC3-CH3_corr-OH_down.out</v>
      </c>
      <c r="F6" s="15">
        <f>B38</f>
        <v>-970.25293799999997</v>
      </c>
    </row>
    <row r="7" spans="1:6" x14ac:dyDescent="0.3">
      <c r="A7" s="15" t="s">
        <v>144</v>
      </c>
      <c r="B7" s="15" t="s">
        <v>350</v>
      </c>
      <c r="E7" s="15" t="str">
        <f>A41</f>
        <v>smd_C2_NC3-CH3_corr-OH_up.out</v>
      </c>
      <c r="F7" s="15">
        <f>B50</f>
        <v>-970.25085799999999</v>
      </c>
    </row>
    <row r="8" spans="1:6" x14ac:dyDescent="0.3">
      <c r="A8" s="15" t="s">
        <v>146</v>
      </c>
      <c r="B8" s="15">
        <v>0.286883</v>
      </c>
      <c r="E8" s="15" t="str">
        <f>A53</f>
        <v>smd_C2_NC3-CH3_corr_HI.out</v>
      </c>
      <c r="F8" s="15">
        <f>B62</f>
        <v>-969.87570300000004</v>
      </c>
    </row>
    <row r="9" spans="1:6" x14ac:dyDescent="0.3">
      <c r="A9" s="15" t="s">
        <v>147</v>
      </c>
      <c r="B9" s="15">
        <v>0.287827</v>
      </c>
    </row>
    <row r="10" spans="1:6" x14ac:dyDescent="0.3">
      <c r="A10" s="15" t="s">
        <v>148</v>
      </c>
      <c r="B10" s="15">
        <v>0.229301</v>
      </c>
    </row>
    <row r="11" spans="1:6" x14ac:dyDescent="0.3">
      <c r="A11" s="15" t="s">
        <v>149</v>
      </c>
      <c r="B11" s="15">
        <v>-970.21313399999997</v>
      </c>
    </row>
    <row r="12" spans="1:6" x14ac:dyDescent="0.3">
      <c r="A12" s="15" t="s">
        <v>150</v>
      </c>
      <c r="B12" s="15">
        <v>-970.19791999999995</v>
      </c>
    </row>
    <row r="13" spans="1:6" x14ac:dyDescent="0.3">
      <c r="A13" s="15" t="s">
        <v>151</v>
      </c>
      <c r="B13" s="15">
        <v>-970.19697599999995</v>
      </c>
    </row>
    <row r="14" spans="1:6" x14ac:dyDescent="0.3">
      <c r="A14" s="15" t="s">
        <v>152</v>
      </c>
      <c r="B14" s="15">
        <v>-970.25550199999998</v>
      </c>
    </row>
    <row r="17" spans="1:2" x14ac:dyDescent="0.3">
      <c r="A17" s="15" t="s">
        <v>351</v>
      </c>
    </row>
    <row r="18" spans="1:2" x14ac:dyDescent="0.3">
      <c r="A18" s="15" t="s">
        <v>270</v>
      </c>
      <c r="B18" s="15" t="s">
        <v>352</v>
      </c>
    </row>
    <row r="19" spans="1:2" x14ac:dyDescent="0.3">
      <c r="A19" s="15" t="s">
        <v>144</v>
      </c>
      <c r="B19" s="15" t="s">
        <v>353</v>
      </c>
    </row>
    <row r="20" spans="1:2" x14ac:dyDescent="0.3">
      <c r="A20" s="15" t="s">
        <v>146</v>
      </c>
      <c r="B20" s="15">
        <v>0.282495</v>
      </c>
    </row>
    <row r="21" spans="1:2" x14ac:dyDescent="0.3">
      <c r="A21" s="15" t="s">
        <v>147</v>
      </c>
      <c r="B21" s="15">
        <v>0.283439</v>
      </c>
    </row>
    <row r="22" spans="1:2" x14ac:dyDescent="0.3">
      <c r="A22" s="15" t="s">
        <v>148</v>
      </c>
      <c r="B22" s="15">
        <v>0.223384</v>
      </c>
    </row>
    <row r="23" spans="1:2" x14ac:dyDescent="0.3">
      <c r="A23" s="15" t="s">
        <v>149</v>
      </c>
      <c r="B23" s="15">
        <v>-970.22939199999996</v>
      </c>
    </row>
    <row r="24" spans="1:2" x14ac:dyDescent="0.3">
      <c r="A24" s="15" t="s">
        <v>150</v>
      </c>
      <c r="B24" s="15">
        <v>-970.21324900000002</v>
      </c>
    </row>
    <row r="25" spans="1:2" x14ac:dyDescent="0.3">
      <c r="A25" s="15" t="s">
        <v>151</v>
      </c>
      <c r="B25" s="15">
        <v>-970.21230500000001</v>
      </c>
    </row>
    <row r="26" spans="1:2" x14ac:dyDescent="0.3">
      <c r="A26" s="15" t="s">
        <v>152</v>
      </c>
      <c r="B26" s="15">
        <v>-970.27236000000005</v>
      </c>
    </row>
    <row r="29" spans="1:2" x14ac:dyDescent="0.3">
      <c r="A29" s="15" t="s">
        <v>354</v>
      </c>
    </row>
    <row r="30" spans="1:2" x14ac:dyDescent="0.3">
      <c r="A30" s="15" t="s">
        <v>270</v>
      </c>
      <c r="B30" s="15" t="s">
        <v>355</v>
      </c>
    </row>
    <row r="31" spans="1:2" x14ac:dyDescent="0.3">
      <c r="A31" s="15" t="s">
        <v>144</v>
      </c>
      <c r="B31" s="15" t="s">
        <v>356</v>
      </c>
    </row>
    <row r="32" spans="1:2" x14ac:dyDescent="0.3">
      <c r="A32" s="15" t="s">
        <v>146</v>
      </c>
      <c r="B32" s="15">
        <v>0.283113</v>
      </c>
    </row>
    <row r="33" spans="1:2" x14ac:dyDescent="0.3">
      <c r="A33" s="15" t="s">
        <v>147</v>
      </c>
      <c r="B33" s="15">
        <v>0.28405799999999998</v>
      </c>
    </row>
    <row r="34" spans="1:2" x14ac:dyDescent="0.3">
      <c r="A34" s="15" t="s">
        <v>148</v>
      </c>
      <c r="B34" s="15">
        <v>0.22498899999999999</v>
      </c>
    </row>
    <row r="35" spans="1:2" x14ac:dyDescent="0.3">
      <c r="A35" s="15" t="s">
        <v>149</v>
      </c>
      <c r="B35" s="15">
        <v>-970.21030199999996</v>
      </c>
    </row>
    <row r="36" spans="1:2" x14ac:dyDescent="0.3">
      <c r="A36" s="15" t="s">
        <v>150</v>
      </c>
      <c r="B36" s="15">
        <v>-970.19481299999995</v>
      </c>
    </row>
    <row r="37" spans="1:2" x14ac:dyDescent="0.3">
      <c r="A37" s="15" t="s">
        <v>151</v>
      </c>
      <c r="B37" s="15">
        <v>-970.19386899999995</v>
      </c>
    </row>
    <row r="38" spans="1:2" x14ac:dyDescent="0.3">
      <c r="A38" s="15" t="s">
        <v>152</v>
      </c>
      <c r="B38" s="15">
        <v>-970.25293799999997</v>
      </c>
    </row>
    <row r="41" spans="1:2" x14ac:dyDescent="0.3">
      <c r="A41" s="15" t="s">
        <v>357</v>
      </c>
    </row>
    <row r="42" spans="1:2" x14ac:dyDescent="0.3">
      <c r="A42" s="15" t="s">
        <v>270</v>
      </c>
      <c r="B42" s="15" t="s">
        <v>358</v>
      </c>
    </row>
    <row r="43" spans="1:2" x14ac:dyDescent="0.3">
      <c r="A43" s="15" t="s">
        <v>144</v>
      </c>
      <c r="B43" s="15" t="s">
        <v>359</v>
      </c>
    </row>
    <row r="44" spans="1:2" x14ac:dyDescent="0.3">
      <c r="A44" s="15" t="s">
        <v>146</v>
      </c>
      <c r="B44" s="15">
        <v>0.28198600000000001</v>
      </c>
    </row>
    <row r="45" spans="1:2" x14ac:dyDescent="0.3">
      <c r="A45" s="15" t="s">
        <v>147</v>
      </c>
      <c r="B45" s="15">
        <v>0.28293000000000001</v>
      </c>
    </row>
    <row r="46" spans="1:2" x14ac:dyDescent="0.3">
      <c r="A46" s="15" t="s">
        <v>148</v>
      </c>
      <c r="B46" s="15">
        <v>0.22312399999999999</v>
      </c>
    </row>
    <row r="47" spans="1:2" x14ac:dyDescent="0.3">
      <c r="A47" s="15" t="s">
        <v>149</v>
      </c>
      <c r="B47" s="15">
        <v>-970.20784400000002</v>
      </c>
    </row>
    <row r="48" spans="1:2" x14ac:dyDescent="0.3">
      <c r="A48" s="15" t="s">
        <v>150</v>
      </c>
      <c r="B48" s="15">
        <v>-970.19199600000002</v>
      </c>
    </row>
    <row r="49" spans="1:2" x14ac:dyDescent="0.3">
      <c r="A49" s="15" t="s">
        <v>151</v>
      </c>
      <c r="B49" s="15">
        <v>-970.19105200000001</v>
      </c>
    </row>
    <row r="50" spans="1:2" x14ac:dyDescent="0.3">
      <c r="A50" s="15" t="s">
        <v>152</v>
      </c>
      <c r="B50" s="15">
        <v>-970.25085799999999</v>
      </c>
    </row>
    <row r="53" spans="1:2" x14ac:dyDescent="0.3">
      <c r="A53" s="15" t="s">
        <v>360</v>
      </c>
    </row>
    <row r="54" spans="1:2" x14ac:dyDescent="0.3">
      <c r="A54" s="15" t="s">
        <v>270</v>
      </c>
      <c r="B54" s="15" t="s">
        <v>361</v>
      </c>
    </row>
    <row r="55" spans="1:2" x14ac:dyDescent="0.3">
      <c r="A55" s="15" t="s">
        <v>144</v>
      </c>
      <c r="B55" s="15" t="s">
        <v>362</v>
      </c>
    </row>
    <row r="56" spans="1:2" x14ac:dyDescent="0.3">
      <c r="A56" s="15" t="s">
        <v>146</v>
      </c>
      <c r="B56" s="15">
        <v>0.267897</v>
      </c>
    </row>
    <row r="57" spans="1:2" x14ac:dyDescent="0.3">
      <c r="A57" s="15" t="s">
        <v>147</v>
      </c>
      <c r="B57" s="15">
        <v>0.268841</v>
      </c>
    </row>
    <row r="58" spans="1:2" x14ac:dyDescent="0.3">
      <c r="A58" s="15" t="s">
        <v>148</v>
      </c>
      <c r="B58" s="15">
        <v>0.211537</v>
      </c>
    </row>
    <row r="59" spans="1:2" x14ac:dyDescent="0.3">
      <c r="A59" s="15" t="s">
        <v>149</v>
      </c>
      <c r="B59" s="15">
        <v>-969.83416699999998</v>
      </c>
    </row>
    <row r="60" spans="1:2" x14ac:dyDescent="0.3">
      <c r="A60" s="15" t="s">
        <v>150</v>
      </c>
      <c r="B60" s="15">
        <v>-969.819343</v>
      </c>
    </row>
    <row r="61" spans="1:2" x14ac:dyDescent="0.3">
      <c r="A61" s="15" t="s">
        <v>151</v>
      </c>
      <c r="B61" s="15">
        <v>-969.818399</v>
      </c>
    </row>
    <row r="62" spans="1:2" x14ac:dyDescent="0.3">
      <c r="A62" s="15" t="s">
        <v>152</v>
      </c>
      <c r="B62" s="15">
        <v>-969.87570300000004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B9193-13F5-4501-B864-953A68FB57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_Energies</vt:lpstr>
      <vt:lpstr>_B3LYP En</vt:lpstr>
      <vt:lpstr>_MP2 En</vt:lpstr>
      <vt:lpstr>_DeltaG</vt:lpstr>
      <vt:lpstr>DeltaG (2)</vt:lpstr>
      <vt:lpstr>For_csv</vt:lpstr>
      <vt:lpstr>CSV_solv</vt:lpstr>
      <vt:lpstr>Energies</vt:lpstr>
      <vt:lpstr>solv</vt:lpstr>
      <vt:lpstr>B3LYP</vt:lpstr>
      <vt:lpstr>B3_solv</vt:lpstr>
      <vt:lpstr>MP2</vt:lpstr>
      <vt:lpstr>SMD</vt:lpstr>
      <vt:lpstr>_Energies!Total_Energies_1</vt:lpstr>
      <vt:lpstr>_Energies!Total_Energies_2</vt:lpstr>
      <vt:lpstr>_Energies!Total_Energies_3</vt:lpstr>
      <vt:lpstr>_Energies!Total_Energies_4</vt:lpstr>
      <vt:lpstr>_Energies!Total_Energies_5</vt:lpstr>
      <vt:lpstr>'_B3LYP En'!Total_Energies_6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Chemistry</dc:creator>
  <cp:lastModifiedBy>Amy Lai</cp:lastModifiedBy>
  <dcterms:created xsi:type="dcterms:W3CDTF">2017-11-23T13:38:35Z</dcterms:created>
  <dcterms:modified xsi:type="dcterms:W3CDTF">2019-09-14T03:24:37Z</dcterms:modified>
</cp:coreProperties>
</file>