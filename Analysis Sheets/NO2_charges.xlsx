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yjo\Google Drive\NC_locals\Analysis Sheets\"/>
    </mc:Choice>
  </mc:AlternateContent>
  <xr:revisionPtr revIDLastSave="0" documentId="13_ncr:1_{02CEEE5F-5C16-491E-8686-F15F9230D5F9}" xr6:coauthVersionLast="36" xr6:coauthVersionMax="36" xr10:uidLastSave="{00000000-0000-0000-0000-000000000000}"/>
  <bookViews>
    <workbookView xWindow="0" yWindow="0" windowWidth="19200" windowHeight="6672" xr2:uid="{4B0D23A7-E5F7-411C-9E32-69C8759256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7" i="1" l="1"/>
  <c r="P8" i="1" l="1"/>
  <c r="P9" i="1" s="1"/>
  <c r="E7" i="1"/>
  <c r="B7" i="1" l="1"/>
</calcChain>
</file>

<file path=xl/sharedStrings.xml><?xml version="1.0" encoding="utf-8"?>
<sst xmlns="http://schemas.openxmlformats.org/spreadsheetml/2006/main" count="14" uniqueCount="13">
  <si>
    <t>Sum</t>
  </si>
  <si>
    <t>Sum of charges around NO2(departing)</t>
  </si>
  <si>
    <t>B3less_O-in_N-out-Step120_P</t>
  </si>
  <si>
    <t xml:space="preserve">19  N    </t>
  </si>
  <si>
    <t xml:space="preserve">20  O       </t>
  </si>
  <si>
    <t xml:space="preserve">21  O     </t>
  </si>
  <si>
    <t>charge</t>
  </si>
  <si>
    <t>spin</t>
  </si>
  <si>
    <t>B3less_O-in_N-out-Step42_TS</t>
  </si>
  <si>
    <t>(ts)</t>
  </si>
  <si>
    <t>(product, chosen from gully of PES)</t>
  </si>
  <si>
    <t>QST2 one (did not give right TS)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</si>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</sst>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0A141-4AF3-4C00-B2B5-596BF9617A6C}">
  <dimension ref="A1:P19"/>
  <sheetViews>
    <sheetView tabSelected="1" workbookViewId="0">
      <selection activeCell="B7" sqref="B4:B7"/>
    </sheetView>
  </sheetViews>
  <sheetFormatPr defaultRowHeight="14.4" x14ac:dyDescent="0.3"/>
  <cols>
    <col min="16" max="16" width="12" bestFit="1" customWidth="1"/>
  </cols>
  <sheetData>
    <row r="1" spans="1:16" x14ac:dyDescent="0.3">
      <c r="A1" t="s">
        <v>1</v>
      </c>
      <c r="M1" s="2"/>
    </row>
    <row r="2" spans="1:16" x14ac:dyDescent="0.3">
      <c r="A2" t="s">
        <v>2</v>
      </c>
      <c r="E2" t="s">
        <v>8</v>
      </c>
      <c r="H2" t="s">
        <v>2</v>
      </c>
      <c r="L2" s="2"/>
      <c r="M2" s="2"/>
    </row>
    <row r="3" spans="1:16" x14ac:dyDescent="0.3">
      <c r="B3" s="2" t="s">
        <v>11</v>
      </c>
      <c r="E3" t="s">
        <v>9</v>
      </c>
      <c r="H3" t="s">
        <v>10</v>
      </c>
      <c r="L3" s="2"/>
      <c r="M3" s="2"/>
    </row>
    <row r="4" spans="1:16" x14ac:dyDescent="0.3">
      <c r="A4" t="s">
        <v>3</v>
      </c>
      <c r="B4" s="3">
        <v>0.18251899999999999</v>
      </c>
      <c r="C4">
        <v>0</v>
      </c>
      <c r="E4">
        <v>-2.9814E-2</v>
      </c>
      <c r="H4">
        <v>-2.5429E-2</v>
      </c>
      <c r="L4" s="2"/>
      <c r="M4" s="2"/>
    </row>
    <row r="5" spans="1:16" x14ac:dyDescent="0.3">
      <c r="A5" t="s">
        <v>4</v>
      </c>
      <c r="B5" s="3">
        <v>0.131712</v>
      </c>
      <c r="C5">
        <v>0</v>
      </c>
      <c r="E5">
        <v>8.515E-3</v>
      </c>
      <c r="H5">
        <v>1.072E-2</v>
      </c>
      <c r="L5" s="2"/>
      <c r="M5" s="2"/>
    </row>
    <row r="6" spans="1:16" x14ac:dyDescent="0.3">
      <c r="A6" t="s">
        <v>5</v>
      </c>
      <c r="B6" s="3">
        <v>0.14479700000000001</v>
      </c>
      <c r="C6">
        <v>0</v>
      </c>
      <c r="E6">
        <v>2.4188999999999999E-2</v>
      </c>
      <c r="H6">
        <v>2.7611E-2</v>
      </c>
      <c r="L6" s="2"/>
      <c r="M6" s="2"/>
    </row>
    <row r="7" spans="1:16" x14ac:dyDescent="0.3">
      <c r="A7" t="s">
        <v>0</v>
      </c>
      <c r="B7" s="3">
        <f>SUM(B4:B6)</f>
        <v>0.45902799999999999</v>
      </c>
      <c r="E7">
        <f>SUM(E4:E6)</f>
        <v>2.8900000000000002E-3</v>
      </c>
      <c r="H7">
        <f>SUM(H4:H6)</f>
        <v>1.2902E-2</v>
      </c>
      <c r="L7" s="2"/>
      <c r="M7" s="2"/>
    </row>
    <row r="8" spans="1:16" x14ac:dyDescent="0.3">
      <c r="B8" t="s">
        <v>6</v>
      </c>
      <c r="C8" t="s">
        <v>7</v>
      </c>
      <c r="P8">
        <f xml:space="preserve"> 6.022140857*10^23</f>
        <v>6.0221408569999995E+23</v>
      </c>
    </row>
    <row r="9" spans="1:16" x14ac:dyDescent="0.3">
      <c r="O9" s="1">
        <v>167.96260000000001</v>
      </c>
      <c r="P9">
        <f>O9*P8</f>
        <v>1.0114944359079482E+26</v>
      </c>
    </row>
    <row r="19" spans="6:6" x14ac:dyDescent="0.3">
      <c r="F19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Lai</dc:creator>
  <cp:lastModifiedBy>Amy Lai</cp:lastModifiedBy>
  <cp:lastPrinted>2018-10-29T13:49:08Z</cp:lastPrinted>
  <dcterms:created xsi:type="dcterms:W3CDTF">2018-10-29T13:47:00Z</dcterms:created>
  <dcterms:modified xsi:type="dcterms:W3CDTF">2019-02-15T12:53:30Z</dcterms:modified>
</cp:coreProperties>
</file>