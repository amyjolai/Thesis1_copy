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Google Drive\NC_locals\Analysis Sheets\"/>
    </mc:Choice>
  </mc:AlternateContent>
  <bookViews>
    <workbookView xWindow="0" yWindow="0" windowWidth="2880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P3" i="1" s="1"/>
  <c r="O3" i="1"/>
  <c r="N3" i="1"/>
</calcChain>
</file>

<file path=xl/sharedStrings.xml><?xml version="1.0" encoding="utf-8"?>
<sst xmlns="http://schemas.openxmlformats.org/spreadsheetml/2006/main" count="8" uniqueCount="8">
  <si>
    <t>B3less_O-in_N-out</t>
  </si>
  <si>
    <t>freq_B3less_O-in_N-out-Step12_R.out</t>
  </si>
  <si>
    <t>freq_B3less_O-in_N-out-Step120_P.out</t>
  </si>
  <si>
    <t>ΔG / Hartree</t>
  </si>
  <si>
    <t>kJmol-1</t>
  </si>
  <si>
    <t>kcalmol-1</t>
  </si>
  <si>
    <t>eV</t>
  </si>
  <si>
    <t>B3less_O-in_N-out-Step42_TS.out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</si>
</sst>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selection activeCell="M20" sqref="M20"/>
    </sheetView>
  </sheetViews>
  <sheetFormatPr defaultRowHeight="15" x14ac:dyDescent="0.25"/>
  <cols>
    <col min="4" max="4" width="10.28515625" bestFit="1" customWidth="1"/>
    <col min="8" max="8" width="10.28515625" bestFit="1" customWidth="1"/>
  </cols>
  <sheetData>
    <row r="1" spans="1:16" x14ac:dyDescent="0.25">
      <c r="A1" t="s">
        <v>0</v>
      </c>
      <c r="D1" t="s">
        <v>1</v>
      </c>
      <c r="H1" t="s">
        <v>2</v>
      </c>
    </row>
    <row r="2" spans="1:16" x14ac:dyDescent="0.25">
      <c r="M2" s="1" t="s">
        <v>3</v>
      </c>
      <c r="N2" s="2" t="s">
        <v>4</v>
      </c>
      <c r="O2" s="1" t="s">
        <v>5</v>
      </c>
      <c r="P2" s="1" t="s">
        <v>6</v>
      </c>
    </row>
    <row r="3" spans="1:16" x14ac:dyDescent="0.25">
      <c r="C3" s="6"/>
      <c r="D3" s="6">
        <v>-970.35564299999999</v>
      </c>
      <c r="E3" s="6"/>
      <c r="F3" s="6"/>
      <c r="G3" s="6"/>
      <c r="H3" s="6">
        <v>-970.35523000000001</v>
      </c>
      <c r="I3" s="6"/>
      <c r="M3" s="3">
        <f>H3-D3</f>
        <v>4.1299999998045678E-4</v>
      </c>
      <c r="N3" s="4">
        <f>M3*2600</f>
        <v>1.0737999999491876</v>
      </c>
      <c r="O3" s="5">
        <f>M3*630</f>
        <v>0.26018999998768777</v>
      </c>
      <c r="P3" s="5">
        <f>M3*27</f>
        <v>1.1150999999472333E-2</v>
      </c>
    </row>
    <row r="6" spans="1:16" x14ac:dyDescent="0.25"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Department of Chemistry</cp:lastModifiedBy>
  <dcterms:created xsi:type="dcterms:W3CDTF">2018-10-23T12:26:25Z</dcterms:created>
  <dcterms:modified xsi:type="dcterms:W3CDTF">2018-10-24T11:56:55Z</dcterms:modified>
</cp:coreProperties>
</file>