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yjo\Google Drive\NC_locals\Analysis Sheets\"/>
    </mc:Choice>
  </mc:AlternateContent>
  <xr:revisionPtr revIDLastSave="0" documentId="12_ncr:500000_{6BBB09DD-264A-4CA1-AD68-1D22D2CFF8F6}" xr6:coauthVersionLast="31" xr6:coauthVersionMax="31" xr10:uidLastSave="{00000000-0000-0000-0000-000000000000}"/>
  <bookViews>
    <workbookView xWindow="0" yWindow="0" windowWidth="7968" windowHeight="708" activeTab="1" xr2:uid="{00000000-000D-0000-FFFF-FFFF00000000}"/>
  </bookViews>
  <sheets>
    <sheet name="Sheet1" sheetId="1" r:id="rId1"/>
    <sheet name="wb97x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6" i="1" l="1"/>
  <c r="G1" i="1" l="1"/>
  <c r="J16" i="1"/>
  <c r="F16" i="1"/>
  <c r="O16" i="1" l="1"/>
  <c r="N16" i="1"/>
  <c r="I16" i="1"/>
  <c r="H16" i="1"/>
  <c r="G16" i="1"/>
  <c r="F23" i="1" l="1"/>
  <c r="L8" i="1"/>
  <c r="L7" i="1"/>
  <c r="L6" i="1"/>
  <c r="L5" i="1"/>
  <c r="L4" i="1"/>
  <c r="L3" i="1"/>
  <c r="L2" i="1"/>
  <c r="L1" i="1"/>
  <c r="K8" i="1"/>
  <c r="K7" i="1"/>
  <c r="K6" i="1"/>
  <c r="K5" i="1"/>
  <c r="K4" i="1"/>
  <c r="K3" i="1"/>
  <c r="K2" i="1"/>
  <c r="K1" i="1"/>
  <c r="J8" i="1"/>
  <c r="J7" i="1"/>
  <c r="J6" i="1"/>
  <c r="J5" i="1"/>
  <c r="J4" i="1"/>
  <c r="J3" i="1"/>
  <c r="J2" i="1"/>
  <c r="J1" i="1"/>
  <c r="I2" i="1"/>
  <c r="I3" i="1"/>
  <c r="I4" i="1"/>
  <c r="I5" i="1"/>
  <c r="I6" i="1"/>
  <c r="I7" i="1"/>
  <c r="I8" i="1"/>
  <c r="I1" i="1"/>
  <c r="H2" i="1"/>
  <c r="H3" i="1"/>
  <c r="H4" i="1"/>
  <c r="H5" i="1"/>
  <c r="H6" i="1"/>
  <c r="H7" i="1"/>
  <c r="H8" i="1"/>
  <c r="H1" i="1"/>
  <c r="G2" i="1"/>
  <c r="G3" i="1"/>
  <c r="G4" i="1"/>
  <c r="G5" i="1"/>
  <c r="G6" i="1"/>
  <c r="G7" i="1"/>
  <c r="G8" i="1"/>
  <c r="E8" i="1"/>
  <c r="E7" i="1"/>
  <c r="F2" i="1"/>
  <c r="F3" i="1"/>
  <c r="F4" i="1"/>
  <c r="F5" i="1"/>
  <c r="F6" i="1"/>
  <c r="F7" i="1"/>
  <c r="F8" i="1"/>
  <c r="F1" i="1"/>
  <c r="E2" i="1"/>
  <c r="E3" i="1"/>
  <c r="E4" i="1"/>
  <c r="E5" i="1"/>
  <c r="E6" i="1"/>
  <c r="E1" i="1"/>
  <c r="M8" i="1" l="1"/>
</calcChain>
</file>

<file path=xl/sharedStrings.xml><?xml version="1.0" encoding="utf-8"?>
<sst xmlns="http://schemas.openxmlformats.org/spreadsheetml/2006/main" count="185" uniqueCount="106">
  <si>
    <t>NC</t>
  </si>
  <si>
    <t>2-3</t>
  </si>
  <si>
    <t>2-6</t>
  </si>
  <si>
    <t>3-6</t>
  </si>
  <si>
    <t>2-3-6</t>
  </si>
  <si>
    <t>when opt</t>
  </si>
  <si>
    <t>wb97xd/6-31+g(2df,p)</t>
  </si>
  <si>
    <t>Level 6</t>
  </si>
  <si>
    <t>Level 5</t>
  </si>
  <si>
    <t>Level 4</t>
  </si>
  <si>
    <t>Level 3</t>
  </si>
  <si>
    <t>Level 2</t>
  </si>
  <si>
    <t>Level 1</t>
  </si>
  <si>
    <t>Level 0</t>
  </si>
  <si>
    <t>2-3-6,2-6</t>
  </si>
  <si>
    <t>2-6,2-3-6</t>
  </si>
  <si>
    <t>bold</t>
  </si>
  <si>
    <t>when in pipeline</t>
  </si>
  <si>
    <t>previously opt</t>
  </si>
  <si>
    <t>Previous stability work (a few do not have opts)</t>
  </si>
  <si>
    <t>both</t>
  </si>
  <si>
    <t>2-3,2-3-6</t>
  </si>
  <si>
    <t>2-3-6,2-3</t>
  </si>
  <si>
    <t xml:space="preserve">to do </t>
  </si>
  <si>
    <t>2-6,2-3</t>
  </si>
  <si>
    <t>2,2-3-6</t>
  </si>
  <si>
    <t>3,2-3-6</t>
  </si>
  <si>
    <t>*</t>
  </si>
  <si>
    <t>*did this one with AND without COMPASSII opt to see if big diff</t>
  </si>
  <si>
    <t>2,2-3</t>
  </si>
  <si>
    <t>3,2-3</t>
  </si>
  <si>
    <t>6,2-3</t>
  </si>
  <si>
    <t>3,3-6</t>
  </si>
  <si>
    <t>2-3,0</t>
  </si>
  <si>
    <t>2-3,2</t>
  </si>
  <si>
    <t>2-3,3</t>
  </si>
  <si>
    <t>2-3,6</t>
  </si>
  <si>
    <t>2-3-6,0</t>
  </si>
  <si>
    <t>3-6,2</t>
  </si>
  <si>
    <t>3-6,3</t>
  </si>
  <si>
    <t>NC3_3</t>
  </si>
  <si>
    <t>NC6-3_2-3-6</t>
  </si>
  <si>
    <t>NC2-3-6_3-6</t>
  </si>
  <si>
    <t>NC2-6_2-6</t>
  </si>
  <si>
    <t>NC0_2-3-6</t>
  </si>
  <si>
    <t>NC2_2-6</t>
  </si>
  <si>
    <t>NC2_3-6</t>
  </si>
  <si>
    <t>ie in Final Set</t>
  </si>
  <si>
    <t>NC3_2-6</t>
  </si>
  <si>
    <t>NC6_2-6</t>
  </si>
  <si>
    <t>NC6_3-6</t>
  </si>
  <si>
    <t>NC2-6_2</t>
  </si>
  <si>
    <t>NC2-6_6</t>
  </si>
  <si>
    <t>NC3-6_6</t>
  </si>
  <si>
    <t>NC6,2-3-6</t>
  </si>
  <si>
    <t>NC3-6,3-6</t>
  </si>
  <si>
    <t>NC2-6,3-6</t>
  </si>
  <si>
    <t>See: Legion/ravensav/stability</t>
  </si>
  <si>
    <t>all done</t>
  </si>
  <si>
    <t>[The ones with NC mean they've already  been opt'd elsewhere] - hopefully won't have to re-opt these</t>
  </si>
  <si>
    <t>2,3</t>
  </si>
  <si>
    <t>2-6,0</t>
  </si>
  <si>
    <t>3-6,0</t>
  </si>
  <si>
    <t>OR in delta-monomer / dimer stability stuff</t>
  </si>
  <si>
    <t>3,2</t>
  </si>
  <si>
    <t>3,3</t>
  </si>
  <si>
    <t>6,2</t>
  </si>
  <si>
    <t>6,3</t>
  </si>
  <si>
    <t>also done</t>
  </si>
  <si>
    <t>NC2_2</t>
  </si>
  <si>
    <t>NC2_6</t>
  </si>
  <si>
    <t>NC3_6</t>
  </si>
  <si>
    <t>NC6_6</t>
  </si>
  <si>
    <t>forgot and drew out these ones in bold anyways</t>
  </si>
  <si>
    <t>Need to reopt</t>
  </si>
  <si>
    <t xml:space="preserve">lvl4 </t>
  </si>
  <si>
    <t>2-3-6,3</t>
  </si>
  <si>
    <t>3-6,2-6</t>
  </si>
  <si>
    <t>2-3,2-3</t>
  </si>
  <si>
    <t>2-3,2-6</t>
  </si>
  <si>
    <t>2-3,3-6</t>
  </si>
  <si>
    <t>lvl3</t>
  </si>
  <si>
    <t xml:space="preserve">lvl2 </t>
  </si>
  <si>
    <t>2-3-6,2</t>
  </si>
  <si>
    <t>solv</t>
  </si>
  <si>
    <t>2_2-3-6</t>
  </si>
  <si>
    <t>2-3_2-6</t>
  </si>
  <si>
    <t>2-3_3-6</t>
  </si>
  <si>
    <t>2-3-6_3</t>
  </si>
  <si>
    <t>2-3-6_6</t>
  </si>
  <si>
    <t>2-6_2-3</t>
  </si>
  <si>
    <t>2-6_3-6</t>
  </si>
  <si>
    <t>3_2-3-6</t>
  </si>
  <si>
    <t>3-6_2-3</t>
  </si>
  <si>
    <t>3-6_2-6</t>
  </si>
  <si>
    <t>Didn't opt in either vacuum or solv</t>
  </si>
  <si>
    <t>Didn't opt</t>
  </si>
  <si>
    <t>2-6_3</t>
  </si>
  <si>
    <t>NOTE: all species opt'd to B3LYP / 6-31g+(2df,p)</t>
  </si>
  <si>
    <t>Double zeta. Maybe try triple if possible.</t>
  </si>
  <si>
    <t>CHECK AGAINST  stability_Dimerd.xlsx</t>
  </si>
  <si>
    <t>0,2-3</t>
  </si>
  <si>
    <t>0,2-6</t>
  </si>
  <si>
    <t>0,3-6</t>
  </si>
  <si>
    <t>2-3-6,6</t>
  </si>
  <si>
    <t>3-6,2-3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</si>
</sst>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 style="medium">
        <color indexed="64"/>
      </left>
      <right style="mediumDashed">
        <color indexed="64"/>
      </right>
      <top style="mediumDashed">
        <color indexed="64"/>
      </top>
      <bottom style="medium">
        <color indexed="64"/>
      </bottom>
      <diagonal/>
    </border>
    <border>
      <left style="mediumDashed">
        <color indexed="64"/>
      </left>
      <right style="medium">
        <color indexed="64"/>
      </right>
      <top style="medium">
        <color indexed="64"/>
      </top>
      <bottom style="mediumDashed">
        <color indexed="64"/>
      </bottom>
      <diagonal/>
    </border>
    <border>
      <left style="medium">
        <color indexed="64"/>
      </left>
      <right style="mediumDashed">
        <color indexed="64"/>
      </right>
      <top style="medium">
        <color indexed="64"/>
      </top>
      <bottom style="mediumDashed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Dashed">
        <color indexed="64"/>
      </left>
      <right style="mediumDashed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Dashed">
        <color indexed="64"/>
      </left>
      <right/>
      <top/>
      <bottom style="double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double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Dashed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auto="1"/>
      </right>
      <top style="mediumDashed">
        <color indexed="64"/>
      </top>
      <bottom style="double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double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NumberFormat="1"/>
    <xf numFmtId="49" fontId="0" fillId="0" borderId="0" xfId="0" applyNumberFormat="1"/>
    <xf numFmtId="0" fontId="0" fillId="3" borderId="0" xfId="0" applyNumberFormat="1" applyFill="1"/>
    <xf numFmtId="0" fontId="0" fillId="4" borderId="0" xfId="0" applyNumberFormat="1" applyFill="1"/>
    <xf numFmtId="0" fontId="0" fillId="5" borderId="0" xfId="0" applyNumberFormat="1" applyFill="1"/>
    <xf numFmtId="0" fontId="0" fillId="2" borderId="0" xfId="0" applyFill="1"/>
    <xf numFmtId="0" fontId="0" fillId="3" borderId="0" xfId="0" applyFill="1"/>
    <xf numFmtId="0" fontId="0" fillId="5" borderId="0" xfId="0" applyFill="1"/>
    <xf numFmtId="0" fontId="0" fillId="4" borderId="0" xfId="0" applyFill="1"/>
    <xf numFmtId="0" fontId="0" fillId="6" borderId="0" xfId="0" applyFill="1"/>
    <xf numFmtId="0" fontId="0" fillId="6" borderId="0" xfId="0" applyNumberFormat="1" applyFill="1"/>
    <xf numFmtId="0" fontId="0" fillId="7" borderId="0" xfId="0" applyFill="1"/>
    <xf numFmtId="0" fontId="0" fillId="8" borderId="0" xfId="0" applyFill="1"/>
    <xf numFmtId="0" fontId="1" fillId="0" borderId="2" xfId="0" applyNumberFormat="1" applyFont="1" applyFill="1" applyBorder="1"/>
    <xf numFmtId="0" fontId="1" fillId="8" borderId="3" xfId="0" applyNumberFormat="1" applyFont="1" applyFill="1" applyBorder="1"/>
    <xf numFmtId="0" fontId="1" fillId="8" borderId="4" xfId="0" applyNumberFormat="1" applyFont="1" applyFill="1" applyBorder="1"/>
    <xf numFmtId="0" fontId="1" fillId="6" borderId="5" xfId="0" applyNumberFormat="1" applyFont="1" applyFill="1" applyBorder="1"/>
    <xf numFmtId="0" fontId="1" fillId="5" borderId="1" xfId="0" applyNumberFormat="1" applyFont="1" applyFill="1" applyBorder="1"/>
    <xf numFmtId="0" fontId="1" fillId="4" borderId="1" xfId="0" applyNumberFormat="1" applyFont="1" applyFill="1" applyBorder="1"/>
    <xf numFmtId="0" fontId="0" fillId="0" borderId="1" xfId="0" applyBorder="1"/>
    <xf numFmtId="0" fontId="0" fillId="5" borderId="11" xfId="0" applyNumberFormat="1" applyFill="1" applyBorder="1"/>
    <xf numFmtId="0" fontId="2" fillId="0" borderId="10" xfId="0" applyFont="1" applyBorder="1"/>
    <xf numFmtId="0" fontId="3" fillId="0" borderId="7" xfId="0" applyFont="1" applyBorder="1"/>
    <xf numFmtId="0" fontId="4" fillId="0" borderId="0" xfId="0" applyFont="1" applyFill="1" applyBorder="1"/>
    <xf numFmtId="0" fontId="2" fillId="6" borderId="13" xfId="0" applyNumberFormat="1" applyFont="1" applyFill="1" applyBorder="1"/>
    <xf numFmtId="0" fontId="2" fillId="6" borderId="14" xfId="0" applyNumberFormat="1" applyFont="1" applyFill="1" applyBorder="1"/>
    <xf numFmtId="0" fontId="1" fillId="5" borderId="15" xfId="0" applyNumberFormat="1" applyFont="1" applyFill="1" applyBorder="1"/>
    <xf numFmtId="0" fontId="1" fillId="5" borderId="16" xfId="0" applyNumberFormat="1" applyFont="1" applyFill="1" applyBorder="1"/>
    <xf numFmtId="0" fontId="1" fillId="7" borderId="17" xfId="0" applyNumberFormat="1" applyFont="1" applyFill="1" applyBorder="1"/>
    <xf numFmtId="0" fontId="1" fillId="5" borderId="18" xfId="0" applyNumberFormat="1" applyFont="1" applyFill="1" applyBorder="1"/>
    <xf numFmtId="0" fontId="2" fillId="5" borderId="6" xfId="0" applyNumberFormat="1" applyFont="1" applyFill="1" applyBorder="1"/>
    <xf numFmtId="0" fontId="2" fillId="5" borderId="19" xfId="0" applyNumberFormat="1" applyFont="1" applyFill="1" applyBorder="1"/>
    <xf numFmtId="0" fontId="2" fillId="5" borderId="12" xfId="0" applyNumberFormat="1" applyFont="1" applyFill="1" applyBorder="1"/>
    <xf numFmtId="0" fontId="2" fillId="5" borderId="14" xfId="0" applyNumberFormat="1" applyFont="1" applyFill="1" applyBorder="1"/>
    <xf numFmtId="0" fontId="2" fillId="3" borderId="6" xfId="0" applyNumberFormat="1" applyFont="1" applyFill="1" applyBorder="1"/>
    <xf numFmtId="0" fontId="5" fillId="0" borderId="0" xfId="0" applyFont="1" applyBorder="1"/>
    <xf numFmtId="0" fontId="6" fillId="0" borderId="0" xfId="0" applyFont="1"/>
    <xf numFmtId="0" fontId="1" fillId="4" borderId="0" xfId="0" applyNumberFormat="1" applyFont="1" applyFill="1"/>
    <xf numFmtId="0" fontId="1" fillId="0" borderId="0" xfId="0" applyFont="1"/>
    <xf numFmtId="0" fontId="0" fillId="4" borderId="0" xfId="0" applyNumberFormat="1" applyFont="1" applyFill="1"/>
    <xf numFmtId="0" fontId="2" fillId="6" borderId="8" xfId="0" applyNumberFormat="1" applyFont="1" applyFill="1" applyBorder="1"/>
    <xf numFmtId="0" fontId="2" fillId="6" borderId="9" xfId="0" applyNumberFormat="1" applyFont="1" applyFill="1" applyBorder="1"/>
    <xf numFmtId="0" fontId="2" fillId="6" borderId="19" xfId="0" applyNumberFormat="1" applyFont="1" applyFill="1" applyBorder="1"/>
    <xf numFmtId="0" fontId="0" fillId="0" borderId="0" xfId="0" applyFont="1"/>
    <xf numFmtId="0" fontId="1" fillId="5" borderId="20" xfId="0" applyNumberFormat="1" applyFont="1" applyFill="1" applyBorder="1"/>
    <xf numFmtId="0" fontId="0" fillId="4" borderId="6" xfId="0" applyNumberFormat="1" applyFill="1" applyBorder="1"/>
    <xf numFmtId="0" fontId="0" fillId="4" borderId="21" xfId="0" applyNumberFormat="1" applyFill="1" applyBorder="1"/>
    <xf numFmtId="0" fontId="0" fillId="8" borderId="1" xfId="0" applyNumberFormat="1" applyFill="1" applyBorder="1"/>
    <xf numFmtId="0" fontId="0" fillId="8" borderId="22" xfId="0" applyNumberFormat="1" applyFill="1" applyBorder="1"/>
    <xf numFmtId="0" fontId="7" fillId="0" borderId="0" xfId="0" applyFont="1"/>
    <xf numFmtId="49" fontId="7" fillId="0" borderId="0" xfId="0" applyNumberFormat="1" applyFont="1"/>
    <xf numFmtId="0" fontId="8" fillId="4" borderId="0" xfId="0" applyNumberFormat="1" applyFont="1" applyFill="1"/>
    <xf numFmtId="0" fontId="8" fillId="5" borderId="0" xfId="0" applyNumberFormat="1" applyFont="1" applyFill="1"/>
    <xf numFmtId="0" fontId="8" fillId="0" borderId="0" xfId="0" applyFont="1"/>
    <xf numFmtId="0" fontId="9" fillId="4" borderId="0" xfId="0" applyNumberFormat="1" applyFont="1" applyFill="1"/>
    <xf numFmtId="0" fontId="10" fillId="0" borderId="0" xfId="0" applyFont="1"/>
    <xf numFmtId="0" fontId="10" fillId="4" borderId="0" xfId="0" applyNumberFormat="1" applyFont="1" applyFill="1"/>
    <xf numFmtId="0" fontId="11" fillId="0" borderId="0" xfId="0" applyFont="1"/>
    <xf numFmtId="0" fontId="11" fillId="5" borderId="0" xfId="0" applyNumberFormat="1" applyFont="1" applyFill="1"/>
    <xf numFmtId="0" fontId="5" fillId="0" borderId="0" xfId="0" applyFont="1"/>
    <xf numFmtId="0" fontId="5" fillId="4" borderId="0" xfId="0" applyNumberFormat="1" applyFont="1" applyFill="1"/>
    <xf numFmtId="0" fontId="12" fillId="4" borderId="0" xfId="0" applyNumberFormat="1" applyFont="1" applyFill="1"/>
    <xf numFmtId="0" fontId="5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5"/>
  <sheetViews>
    <sheetView workbookViewId="0">
      <selection activeCell="E14" sqref="E14:Y21"/>
    </sheetView>
  </sheetViews>
  <sheetFormatPr defaultRowHeight="14.4" x14ac:dyDescent="0.3"/>
  <cols>
    <col min="2" max="2" width="8.6640625" style="2"/>
    <col min="10" max="10" width="13.109375" customWidth="1"/>
    <col min="11" max="11" width="13.6640625" customWidth="1"/>
    <col min="12" max="12" width="11.5546875" customWidth="1"/>
    <col min="15" max="15" width="12.6640625" customWidth="1"/>
    <col min="16" max="16" width="12" customWidth="1"/>
    <col min="17" max="17" width="10.77734375" customWidth="1"/>
    <col min="19" max="19" width="11.33203125" customWidth="1"/>
    <col min="20" max="20" width="9.6640625" bestFit="1" customWidth="1"/>
  </cols>
  <sheetData>
    <row r="1" spans="1:21" ht="15" thickBot="1" x14ac:dyDescent="0.35">
      <c r="A1" t="s">
        <v>0</v>
      </c>
      <c r="B1" s="2">
        <v>0</v>
      </c>
      <c r="C1" s="2">
        <v>0</v>
      </c>
      <c r="E1" s="14" t="str">
        <f>$B$1&amp;","&amp;C1</f>
        <v>0,0</v>
      </c>
      <c r="F1" s="15" t="str">
        <f t="shared" ref="F1:F8" si="0">$B$2&amp;","&amp;C1</f>
        <v>2,0</v>
      </c>
      <c r="G1" s="48" t="str">
        <f>$B$3&amp;","&amp;C1</f>
        <v>3,0</v>
      </c>
      <c r="H1" s="48" t="str">
        <f>$B$4&amp;","&amp;$C1</f>
        <v>6,0</v>
      </c>
      <c r="I1" s="11" t="str">
        <f>$B$5&amp;","&amp;$C1</f>
        <v>2-3,0</v>
      </c>
      <c r="J1" s="11" t="str">
        <f>$B$6&amp;","&amp;$C1</f>
        <v>2-6,0</v>
      </c>
      <c r="K1" s="11" t="str">
        <f>$B$7&amp;","&amp;$C1</f>
        <v>3-6,0</v>
      </c>
      <c r="L1" s="5" t="str">
        <f>$B$8&amp;","&amp;$C1</f>
        <v>2-3-6,0</v>
      </c>
      <c r="M1" s="1"/>
    </row>
    <row r="2" spans="1:21" ht="15" thickBot="1" x14ac:dyDescent="0.35">
      <c r="B2" s="2">
        <v>2</v>
      </c>
      <c r="C2" s="2">
        <v>2</v>
      </c>
      <c r="E2" s="16" t="str">
        <f t="shared" ref="E2:E6" si="1">$B$1&amp;","&amp;C2</f>
        <v>0,2</v>
      </c>
      <c r="F2" s="17" t="str">
        <f t="shared" si="0"/>
        <v>2,2</v>
      </c>
      <c r="G2" s="11" t="str">
        <f t="shared" ref="G2:G8" si="2">$B$3&amp;","&amp;C2</f>
        <v>3,2</v>
      </c>
      <c r="H2" s="11" t="str">
        <f t="shared" ref="H2:H8" si="3">$B$4&amp;","&amp;$C2</f>
        <v>6,2</v>
      </c>
      <c r="I2" s="5" t="str">
        <f t="shared" ref="I2:I8" si="4">$B$5&amp;","&amp;$C2</f>
        <v>2-3,2</v>
      </c>
      <c r="J2" s="18" t="str">
        <f t="shared" ref="J2:J8" si="5">$B$6&amp;","&amp;$C2</f>
        <v>2-6,2</v>
      </c>
      <c r="K2" s="5" t="str">
        <f t="shared" ref="K2:K8" si="6">$B$7&amp;","&amp;$C2</f>
        <v>3-6,2</v>
      </c>
      <c r="L2" s="4" t="str">
        <f t="shared" ref="L2:L8" si="7">$B$8&amp;","&amp;$C2</f>
        <v>2-3-6,2</v>
      </c>
      <c r="M2" s="1"/>
    </row>
    <row r="3" spans="1:21" ht="15" thickBot="1" x14ac:dyDescent="0.35">
      <c r="B3" s="2">
        <v>3</v>
      </c>
      <c r="C3" s="2">
        <v>3</v>
      </c>
      <c r="E3" s="48" t="str">
        <f t="shared" si="1"/>
        <v>0,3</v>
      </c>
      <c r="F3" s="11" t="str">
        <f t="shared" si="0"/>
        <v>2,3</v>
      </c>
      <c r="G3" s="11" t="str">
        <f t="shared" si="2"/>
        <v>3,3</v>
      </c>
      <c r="H3" s="11" t="str">
        <f t="shared" si="3"/>
        <v>6,3</v>
      </c>
      <c r="I3" s="5" t="str">
        <f t="shared" si="4"/>
        <v>2-3,3</v>
      </c>
      <c r="J3" s="30" t="str">
        <f t="shared" si="5"/>
        <v>2-6,3</v>
      </c>
      <c r="K3" s="5" t="str">
        <f t="shared" si="6"/>
        <v>3-6,3</v>
      </c>
      <c r="L3" s="4" t="str">
        <f t="shared" si="7"/>
        <v>2-3-6,3</v>
      </c>
      <c r="M3" s="1"/>
      <c r="O3" s="20" t="s">
        <v>18</v>
      </c>
      <c r="P3" t="s">
        <v>47</v>
      </c>
      <c r="R3" t="s">
        <v>63</v>
      </c>
    </row>
    <row r="4" spans="1:21" ht="15.6" thickTop="1" thickBot="1" x14ac:dyDescent="0.35">
      <c r="B4" s="2">
        <v>6</v>
      </c>
      <c r="C4" s="2">
        <v>6</v>
      </c>
      <c r="E4" s="49" t="str">
        <f t="shared" si="1"/>
        <v>0,6</v>
      </c>
      <c r="F4" s="25" t="str">
        <f t="shared" si="0"/>
        <v>2,6</v>
      </c>
      <c r="G4" s="25" t="str">
        <f t="shared" si="2"/>
        <v>3,6</v>
      </c>
      <c r="H4" s="26" t="str">
        <f t="shared" si="3"/>
        <v>6,6</v>
      </c>
      <c r="I4" s="5" t="str">
        <f t="shared" si="4"/>
        <v>2-3,6</v>
      </c>
      <c r="J4" s="33" t="str">
        <f t="shared" si="5"/>
        <v>2-6,6</v>
      </c>
      <c r="K4" s="34" t="str">
        <f t="shared" si="6"/>
        <v>3-6,6</v>
      </c>
      <c r="L4" s="4" t="str">
        <f t="shared" si="7"/>
        <v>2-3-6,6</v>
      </c>
      <c r="M4" s="1"/>
    </row>
    <row r="5" spans="1:21" ht="15.6" thickTop="1" thickBot="1" x14ac:dyDescent="0.35">
      <c r="B5" s="2" t="s">
        <v>1</v>
      </c>
      <c r="C5" s="2" t="s">
        <v>1</v>
      </c>
      <c r="E5" s="41" t="str">
        <f t="shared" si="1"/>
        <v>0,2-3</v>
      </c>
      <c r="F5" s="5" t="str">
        <f t="shared" si="0"/>
        <v>2,2-3</v>
      </c>
      <c r="G5" s="21" t="str">
        <f t="shared" si="2"/>
        <v>3,2-3</v>
      </c>
      <c r="H5" s="5" t="str">
        <f t="shared" si="3"/>
        <v>6,2-3</v>
      </c>
      <c r="I5" s="4" t="str">
        <f t="shared" si="4"/>
        <v>2-3,2-3</v>
      </c>
      <c r="J5" s="4" t="str">
        <f t="shared" si="5"/>
        <v>2-6,2-3</v>
      </c>
      <c r="K5" s="4" t="str">
        <f t="shared" si="6"/>
        <v>3-6,2-3</v>
      </c>
      <c r="L5" s="3" t="str">
        <f t="shared" si="7"/>
        <v>2-3-6,2-3</v>
      </c>
      <c r="M5" s="1"/>
      <c r="O5" s="22" t="s">
        <v>19</v>
      </c>
      <c r="S5" t="s">
        <v>57</v>
      </c>
    </row>
    <row r="6" spans="1:21" ht="15.6" thickTop="1" thickBot="1" x14ac:dyDescent="0.35">
      <c r="B6" s="2" t="s">
        <v>2</v>
      </c>
      <c r="C6" s="2" t="s">
        <v>2</v>
      </c>
      <c r="E6" s="42" t="str">
        <f t="shared" si="1"/>
        <v>0,2-6</v>
      </c>
      <c r="F6" s="28" t="str">
        <f t="shared" si="0"/>
        <v>2,2-6</v>
      </c>
      <c r="G6" s="27" t="str">
        <f t="shared" si="2"/>
        <v>3,2-6</v>
      </c>
      <c r="H6" s="31" t="str">
        <f t="shared" si="3"/>
        <v>6,2-6</v>
      </c>
      <c r="I6" s="4" t="str">
        <f t="shared" si="4"/>
        <v>2-3,2-6</v>
      </c>
      <c r="J6" s="19" t="str">
        <f t="shared" si="5"/>
        <v>2-6,2-6</v>
      </c>
      <c r="K6" s="4" t="str">
        <f t="shared" si="6"/>
        <v>3-6,2-6</v>
      </c>
      <c r="L6" s="3" t="str">
        <f t="shared" si="7"/>
        <v>2-3-6,2-6</v>
      </c>
      <c r="M6" s="1"/>
    </row>
    <row r="7" spans="1:21" ht="15.6" thickTop="1" thickBot="1" x14ac:dyDescent="0.35">
      <c r="B7" s="2" t="s">
        <v>3</v>
      </c>
      <c r="C7" s="2" t="s">
        <v>3</v>
      </c>
      <c r="E7" s="43" t="str">
        <f>$B$1&amp;","&amp;C7</f>
        <v>0,3-6</v>
      </c>
      <c r="F7" s="45" t="str">
        <f t="shared" si="0"/>
        <v>2,3-6</v>
      </c>
      <c r="G7" s="5" t="str">
        <f t="shared" si="2"/>
        <v>3,3-6</v>
      </c>
      <c r="H7" s="32" t="str">
        <f t="shared" si="3"/>
        <v>6,3-6</v>
      </c>
      <c r="I7" s="4" t="str">
        <f t="shared" si="4"/>
        <v>2-3,3-6</v>
      </c>
      <c r="J7" s="47" t="str">
        <f t="shared" si="5"/>
        <v>2-6,3-6</v>
      </c>
      <c r="K7" s="46" t="str">
        <f t="shared" si="6"/>
        <v>3-6,3-6</v>
      </c>
      <c r="L7" s="35" t="str">
        <f t="shared" si="7"/>
        <v>2-3-6,3-6</v>
      </c>
      <c r="M7" s="1"/>
      <c r="O7" s="23" t="s">
        <v>20</v>
      </c>
    </row>
    <row r="8" spans="1:21" ht="15.6" thickTop="1" thickBot="1" x14ac:dyDescent="0.35">
      <c r="B8" s="2" t="s">
        <v>4</v>
      </c>
      <c r="C8" s="2" t="s">
        <v>4</v>
      </c>
      <c r="E8" s="32" t="str">
        <f>$B$1&amp;","&amp;C8</f>
        <v>0,2-3-6</v>
      </c>
      <c r="F8" s="4" t="str">
        <f t="shared" si="0"/>
        <v>2,2-3-6</v>
      </c>
      <c r="G8" s="4" t="str">
        <f t="shared" si="2"/>
        <v>3,2-3-6</v>
      </c>
      <c r="H8" s="46" t="str">
        <f t="shared" si="3"/>
        <v>6,2-3-6</v>
      </c>
      <c r="I8" s="3" t="str">
        <f t="shared" si="4"/>
        <v>2-3,2-3-6</v>
      </c>
      <c r="J8" s="3" t="str">
        <f t="shared" si="5"/>
        <v>2-6,2-3-6</v>
      </c>
      <c r="K8" s="35" t="str">
        <f t="shared" si="6"/>
        <v>3-6,2-3-6</v>
      </c>
      <c r="L8" s="29" t="str">
        <f t="shared" si="7"/>
        <v>2-3-6,2-3-6</v>
      </c>
      <c r="M8" s="1">
        <f>COUNTA(E1:L8)</f>
        <v>64</v>
      </c>
    </row>
    <row r="9" spans="1:21" ht="15" thickTop="1" x14ac:dyDescent="0.3">
      <c r="K9" t="s">
        <v>27</v>
      </c>
    </row>
    <row r="10" spans="1:21" x14ac:dyDescent="0.3">
      <c r="E10" s="24" t="s">
        <v>16</v>
      </c>
      <c r="F10" t="s">
        <v>17</v>
      </c>
      <c r="O10" t="s">
        <v>28</v>
      </c>
    </row>
    <row r="11" spans="1:21" x14ac:dyDescent="0.3">
      <c r="E11" s="36" t="s">
        <v>16</v>
      </c>
      <c r="F11" t="s">
        <v>5</v>
      </c>
      <c r="G11" t="s">
        <v>6</v>
      </c>
    </row>
    <row r="12" spans="1:21" x14ac:dyDescent="0.3">
      <c r="I12" s="6"/>
    </row>
    <row r="13" spans="1:21" x14ac:dyDescent="0.3">
      <c r="E13" s="37" t="s">
        <v>23</v>
      </c>
      <c r="F13" t="s">
        <v>59</v>
      </c>
    </row>
    <row r="14" spans="1:21" x14ac:dyDescent="0.3">
      <c r="E14" s="12" t="s">
        <v>7</v>
      </c>
      <c r="F14" t="s">
        <v>40</v>
      </c>
    </row>
    <row r="15" spans="1:21" x14ac:dyDescent="0.3">
      <c r="E15" s="7" t="s">
        <v>8</v>
      </c>
      <c r="F15" s="63" t="s">
        <v>15</v>
      </c>
      <c r="G15" s="39" t="s">
        <v>14</v>
      </c>
      <c r="H15" s="63" t="s">
        <v>22</v>
      </c>
      <c r="I15" s="63" t="s">
        <v>21</v>
      </c>
      <c r="J15" s="64" t="s">
        <v>41</v>
      </c>
      <c r="K15" s="64" t="s">
        <v>42</v>
      </c>
    </row>
    <row r="16" spans="1:21" x14ac:dyDescent="0.3">
      <c r="E16" s="9" t="s">
        <v>9</v>
      </c>
      <c r="F16" s="61" t="str">
        <f>$B$8&amp;","&amp;$C2</f>
        <v>2-3-6,2</v>
      </c>
      <c r="G16" s="62" t="str">
        <f>$B$8&amp;","&amp;$C3</f>
        <v>2-3-6,3</v>
      </c>
      <c r="H16" s="52" t="str">
        <f>$B$8&amp;","&amp;$C4</f>
        <v>2-3-6,6</v>
      </c>
      <c r="I16" s="38" t="str">
        <f>$B$7&amp;","&amp;$C5</f>
        <v>3-6,2-3</v>
      </c>
      <c r="J16" s="62" t="str">
        <f>$B$7&amp;","&amp;$C6</f>
        <v>3-6,2-6</v>
      </c>
      <c r="K16" s="61" t="s">
        <v>55</v>
      </c>
      <c r="L16" s="38" t="s">
        <v>24</v>
      </c>
      <c r="M16" s="61" t="s">
        <v>56</v>
      </c>
      <c r="N16" s="62" t="str">
        <f>$B$5&amp;","&amp;$C5</f>
        <v>2-3,2-3</v>
      </c>
      <c r="O16" s="62" t="str">
        <f>$B$5&amp;","&amp;$C6</f>
        <v>2-3,2-6</v>
      </c>
      <c r="P16" s="62" t="str">
        <f>$B$5&amp;","&amp;$C7</f>
        <v>2-3,3-6</v>
      </c>
      <c r="Q16" s="61" t="s">
        <v>25</v>
      </c>
      <c r="R16" s="62" t="s">
        <v>26</v>
      </c>
      <c r="S16" s="61" t="s">
        <v>54</v>
      </c>
      <c r="T16" s="38" t="s">
        <v>43</v>
      </c>
      <c r="U16" s="40" t="s">
        <v>73</v>
      </c>
    </row>
    <row r="17" spans="1:25" x14ac:dyDescent="0.3">
      <c r="E17" s="8" t="s">
        <v>10</v>
      </c>
      <c r="F17" s="59" t="s">
        <v>29</v>
      </c>
      <c r="G17" s="58" t="s">
        <v>30</v>
      </c>
      <c r="H17" s="54" t="s">
        <v>31</v>
      </c>
      <c r="I17" s="58" t="s">
        <v>32</v>
      </c>
      <c r="J17" s="58" t="s">
        <v>34</v>
      </c>
      <c r="K17" s="58" t="s">
        <v>35</v>
      </c>
      <c r="L17" s="58" t="s">
        <v>36</v>
      </c>
      <c r="M17" s="54" t="s">
        <v>37</v>
      </c>
      <c r="N17" s="44" t="s">
        <v>38</v>
      </c>
      <c r="O17" s="44" t="s">
        <v>39</v>
      </c>
      <c r="P17" t="s">
        <v>97</v>
      </c>
      <c r="Q17" s="60" t="s">
        <v>44</v>
      </c>
      <c r="R17" s="60" t="s">
        <v>45</v>
      </c>
      <c r="S17" s="60" t="s">
        <v>46</v>
      </c>
      <c r="T17" s="60" t="s">
        <v>48</v>
      </c>
      <c r="U17" s="60" t="s">
        <v>49</v>
      </c>
      <c r="V17" s="60" t="s">
        <v>50</v>
      </c>
      <c r="W17" t="s">
        <v>51</v>
      </c>
      <c r="X17" s="60" t="s">
        <v>52</v>
      </c>
      <c r="Y17" s="60" t="s">
        <v>53</v>
      </c>
    </row>
    <row r="18" spans="1:25" x14ac:dyDescent="0.3">
      <c r="E18" s="10" t="s">
        <v>11</v>
      </c>
      <c r="F18" s="58" t="s">
        <v>60</v>
      </c>
      <c r="G18" s="44" t="s">
        <v>33</v>
      </c>
      <c r="H18" s="44" t="s">
        <v>61</v>
      </c>
      <c r="I18" s="44" t="s">
        <v>62</v>
      </c>
      <c r="J18" s="58" t="s">
        <v>64</v>
      </c>
      <c r="K18" s="58" t="s">
        <v>65</v>
      </c>
      <c r="L18" s="58" t="s">
        <v>66</v>
      </c>
      <c r="M18" s="44" t="s">
        <v>67</v>
      </c>
      <c r="N18" s="39" t="s">
        <v>69</v>
      </c>
      <c r="O18" s="39" t="s">
        <v>70</v>
      </c>
      <c r="P18" s="44" t="s">
        <v>71</v>
      </c>
      <c r="Q18" s="44" t="s">
        <v>72</v>
      </c>
      <c r="R18" t="s">
        <v>101</v>
      </c>
      <c r="S18" t="s">
        <v>102</v>
      </c>
      <c r="T18" t="s">
        <v>103</v>
      </c>
    </row>
    <row r="19" spans="1:25" x14ac:dyDescent="0.3">
      <c r="E19" s="13" t="s">
        <v>12</v>
      </c>
      <c r="F19" t="s">
        <v>58</v>
      </c>
    </row>
    <row r="20" spans="1:25" x14ac:dyDescent="0.3">
      <c r="E20" t="s">
        <v>13</v>
      </c>
      <c r="F20" t="s">
        <v>68</v>
      </c>
    </row>
    <row r="23" spans="1:25" x14ac:dyDescent="0.3">
      <c r="F23">
        <f>COUNTA(F15:I16,J16:R16,F17:M18,N17:O17)</f>
        <v>35</v>
      </c>
    </row>
    <row r="24" spans="1:25" x14ac:dyDescent="0.3">
      <c r="A24" s="50"/>
      <c r="B24" s="51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 t="s">
        <v>96</v>
      </c>
    </row>
    <row r="25" spans="1:25" x14ac:dyDescent="0.3">
      <c r="A25" s="50"/>
      <c r="B25" s="51"/>
      <c r="C25" s="50"/>
      <c r="D25" s="50"/>
      <c r="E25" s="50" t="s">
        <v>74</v>
      </c>
      <c r="N25" t="s">
        <v>84</v>
      </c>
      <c r="Y25" s="56" t="s">
        <v>95</v>
      </c>
    </row>
    <row r="26" spans="1:25" x14ac:dyDescent="0.3">
      <c r="E26" t="s">
        <v>75</v>
      </c>
      <c r="F26" s="55" t="s">
        <v>80</v>
      </c>
      <c r="G26" s="55" t="s">
        <v>79</v>
      </c>
      <c r="H26" s="52" t="s">
        <v>83</v>
      </c>
      <c r="I26" s="55" t="s">
        <v>76</v>
      </c>
      <c r="J26" s="57" t="s">
        <v>77</v>
      </c>
      <c r="K26" s="52" t="s">
        <v>78</v>
      </c>
      <c r="N26" s="39" t="s">
        <v>85</v>
      </c>
      <c r="O26" s="56" t="s">
        <v>86</v>
      </c>
      <c r="P26" s="56" t="s">
        <v>87</v>
      </c>
      <c r="Q26" s="56" t="s">
        <v>88</v>
      </c>
      <c r="R26" s="39" t="s">
        <v>89</v>
      </c>
      <c r="S26" t="s">
        <v>90</v>
      </c>
      <c r="T26" s="39" t="s">
        <v>91</v>
      </c>
      <c r="U26" s="39" t="s">
        <v>92</v>
      </c>
      <c r="V26" s="39" t="s">
        <v>93</v>
      </c>
      <c r="W26" s="56" t="s">
        <v>94</v>
      </c>
    </row>
    <row r="27" spans="1:25" x14ac:dyDescent="0.3">
      <c r="E27" t="s">
        <v>81</v>
      </c>
      <c r="F27" s="53" t="s">
        <v>29</v>
      </c>
      <c r="G27" s="54" t="s">
        <v>30</v>
      </c>
      <c r="H27" s="54" t="s">
        <v>32</v>
      </c>
      <c r="I27" s="54" t="s">
        <v>35</v>
      </c>
      <c r="J27" s="54" t="s">
        <v>36</v>
      </c>
    </row>
    <row r="28" spans="1:25" x14ac:dyDescent="0.3">
      <c r="E28" t="s">
        <v>82</v>
      </c>
      <c r="F28" s="54" t="s">
        <v>60</v>
      </c>
      <c r="G28" s="54" t="s">
        <v>64</v>
      </c>
      <c r="H28" s="54" t="s">
        <v>65</v>
      </c>
      <c r="I28" s="54" t="s">
        <v>66</v>
      </c>
    </row>
    <row r="33" spans="4:4" x14ac:dyDescent="0.3">
      <c r="D33" t="s">
        <v>98</v>
      </c>
    </row>
    <row r="34" spans="4:4" x14ac:dyDescent="0.3">
      <c r="D34" t="s">
        <v>99</v>
      </c>
    </row>
    <row r="35" spans="4:4" x14ac:dyDescent="0.3">
      <c r="D35" t="s">
        <v>100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BFBDB-8827-41AE-9878-CDFF9EFE856C}">
  <dimension ref="A2:U8"/>
  <sheetViews>
    <sheetView tabSelected="1" topLeftCell="D1" workbookViewId="0">
      <selection activeCell="F17" sqref="F17"/>
    </sheetView>
  </sheetViews>
  <sheetFormatPr defaultRowHeight="14.4" x14ac:dyDescent="0.3"/>
  <cols>
    <col min="1" max="1" width="6.6640625" bestFit="1" customWidth="1"/>
    <col min="3" max="5" width="8.44140625" bestFit="1" customWidth="1"/>
    <col min="6" max="7" width="11.44140625" bestFit="1" customWidth="1"/>
    <col min="8" max="8" width="6.77734375" bestFit="1" customWidth="1"/>
    <col min="9" max="9" width="9.21875" bestFit="1" customWidth="1"/>
    <col min="10" max="12" width="6.77734375" bestFit="1" customWidth="1"/>
    <col min="13" max="13" width="9.77734375" bestFit="1" customWidth="1"/>
    <col min="14" max="14" width="8.109375" bestFit="1" customWidth="1"/>
    <col min="15" max="15" width="9.21875" bestFit="1" customWidth="1"/>
    <col min="16" max="16" width="9.77734375" bestFit="1" customWidth="1"/>
    <col min="17" max="17" width="9.109375" customWidth="1"/>
    <col min="18" max="21" width="8.109375" bestFit="1" customWidth="1"/>
  </cols>
  <sheetData>
    <row r="2" spans="1:21" x14ac:dyDescent="0.3">
      <c r="A2" t="s">
        <v>7</v>
      </c>
      <c r="B2" t="s">
        <v>40</v>
      </c>
    </row>
    <row r="3" spans="1:21" x14ac:dyDescent="0.3">
      <c r="A3" t="s">
        <v>8</v>
      </c>
      <c r="B3" t="s">
        <v>15</v>
      </c>
      <c r="C3" t="s">
        <v>14</v>
      </c>
      <c r="D3" t="s">
        <v>22</v>
      </c>
      <c r="E3" t="s">
        <v>21</v>
      </c>
      <c r="F3" t="s">
        <v>41</v>
      </c>
      <c r="G3" t="s">
        <v>42</v>
      </c>
    </row>
    <row r="4" spans="1:21" x14ac:dyDescent="0.3">
      <c r="A4" t="s">
        <v>9</v>
      </c>
      <c r="B4" t="s">
        <v>83</v>
      </c>
      <c r="C4" t="s">
        <v>76</v>
      </c>
      <c r="D4" t="s">
        <v>104</v>
      </c>
      <c r="E4" t="s">
        <v>105</v>
      </c>
      <c r="F4" t="s">
        <v>77</v>
      </c>
      <c r="G4" t="s">
        <v>55</v>
      </c>
      <c r="H4" t="s">
        <v>24</v>
      </c>
      <c r="I4" t="s">
        <v>56</v>
      </c>
      <c r="J4" t="s">
        <v>78</v>
      </c>
      <c r="K4" t="s">
        <v>79</v>
      </c>
      <c r="L4" t="s">
        <v>80</v>
      </c>
      <c r="M4" t="s">
        <v>25</v>
      </c>
      <c r="N4" t="s">
        <v>26</v>
      </c>
      <c r="O4" t="s">
        <v>54</v>
      </c>
      <c r="P4" t="s">
        <v>43</v>
      </c>
      <c r="Q4" t="s">
        <v>73</v>
      </c>
    </row>
    <row r="5" spans="1:21" x14ac:dyDescent="0.3">
      <c r="A5" t="s">
        <v>10</v>
      </c>
      <c r="B5" t="s">
        <v>29</v>
      </c>
      <c r="C5" t="s">
        <v>30</v>
      </c>
      <c r="D5" t="s">
        <v>31</v>
      </c>
      <c r="E5" t="s">
        <v>32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97</v>
      </c>
      <c r="M5" t="s">
        <v>44</v>
      </c>
      <c r="N5" t="s">
        <v>45</v>
      </c>
      <c r="O5" t="s">
        <v>46</v>
      </c>
      <c r="P5" t="s">
        <v>48</v>
      </c>
      <c r="Q5" t="s">
        <v>49</v>
      </c>
      <c r="R5" t="s">
        <v>50</v>
      </c>
      <c r="S5" t="s">
        <v>51</v>
      </c>
      <c r="T5" t="s">
        <v>52</v>
      </c>
      <c r="U5" t="s">
        <v>53</v>
      </c>
    </row>
    <row r="6" spans="1:21" x14ac:dyDescent="0.3">
      <c r="A6" t="s">
        <v>11</v>
      </c>
      <c r="B6" t="s">
        <v>60</v>
      </c>
      <c r="C6" t="s">
        <v>33</v>
      </c>
      <c r="D6" t="s">
        <v>61</v>
      </c>
      <c r="E6" t="s">
        <v>62</v>
      </c>
      <c r="F6" t="s">
        <v>64</v>
      </c>
      <c r="G6" t="s">
        <v>65</v>
      </c>
      <c r="H6" t="s">
        <v>66</v>
      </c>
      <c r="I6" t="s">
        <v>67</v>
      </c>
      <c r="J6" t="s">
        <v>69</v>
      </c>
      <c r="K6" t="s">
        <v>70</v>
      </c>
      <c r="L6" t="s">
        <v>71</v>
      </c>
      <c r="M6" t="s">
        <v>72</v>
      </c>
      <c r="N6" t="s">
        <v>101</v>
      </c>
      <c r="O6" t="s">
        <v>102</v>
      </c>
      <c r="P6" t="s">
        <v>103</v>
      </c>
    </row>
    <row r="7" spans="1:21" x14ac:dyDescent="0.3">
      <c r="A7" t="s">
        <v>12</v>
      </c>
      <c r="B7" t="s">
        <v>58</v>
      </c>
    </row>
    <row r="8" spans="1:21" x14ac:dyDescent="0.3">
      <c r="A8" t="s">
        <v>13</v>
      </c>
      <c r="B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wb97xd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Lai</dc:creator>
  <cp:lastModifiedBy>Amy Lai</cp:lastModifiedBy>
  <dcterms:created xsi:type="dcterms:W3CDTF">2018-03-18T22:02:28Z</dcterms:created>
  <dcterms:modified xsi:type="dcterms:W3CDTF">2018-11-05T18:58:28Z</dcterms:modified>
</cp:coreProperties>
</file>