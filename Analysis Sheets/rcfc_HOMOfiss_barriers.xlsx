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All UCL Related\Year 2 Work\"/>
    </mc:Choice>
  </mc:AlternateContent>
  <bookViews>
    <workbookView xWindow="0" yWindow="0" windowWidth="21525" windowHeight="11850" activeTab="2"/>
  </bookViews>
  <sheets>
    <sheet name="Sheet1" sheetId="1" r:id="rId1"/>
    <sheet name="Individual corrections" sheetId="2" r:id="rId2"/>
    <sheet name="ZPE Corr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G16" i="3"/>
  <c r="J16" i="3"/>
  <c r="J19" i="3"/>
  <c r="F16" i="3"/>
  <c r="I16" i="3"/>
  <c r="I19" i="3"/>
  <c r="H16" i="3"/>
  <c r="H19" i="3"/>
  <c r="G19" i="3"/>
  <c r="F19" i="3"/>
  <c r="E19" i="3"/>
  <c r="J18" i="3"/>
  <c r="I18" i="3"/>
  <c r="H18" i="3"/>
  <c r="G18" i="3"/>
  <c r="F18" i="3"/>
  <c r="E18" i="3"/>
  <c r="G15" i="3"/>
  <c r="F15" i="3"/>
  <c r="I15" i="3"/>
  <c r="E15" i="3"/>
  <c r="H15" i="3"/>
  <c r="G14" i="3"/>
  <c r="F14" i="3"/>
  <c r="I14" i="3"/>
  <c r="E14" i="3"/>
  <c r="H14" i="3"/>
  <c r="G2" i="3"/>
  <c r="F2" i="3"/>
  <c r="E2" i="3"/>
  <c r="F14" i="2"/>
  <c r="E16" i="2"/>
  <c r="G16" i="2"/>
  <c r="J16" i="2"/>
  <c r="J19" i="2"/>
  <c r="F16" i="2"/>
  <c r="I16" i="2"/>
  <c r="I19" i="2"/>
  <c r="H16" i="2"/>
  <c r="H19" i="2"/>
  <c r="G19" i="2"/>
  <c r="F19" i="2"/>
  <c r="E19" i="2"/>
  <c r="J18" i="2"/>
  <c r="I18" i="2"/>
  <c r="H18" i="2"/>
  <c r="G18" i="2"/>
  <c r="F18" i="2"/>
  <c r="E18" i="2"/>
  <c r="G15" i="2"/>
  <c r="F15" i="2"/>
  <c r="I15" i="2"/>
  <c r="E15" i="2"/>
  <c r="H15" i="2"/>
  <c r="G14" i="2"/>
  <c r="I14" i="2"/>
  <c r="E14" i="2"/>
  <c r="H14" i="2"/>
  <c r="G2" i="2"/>
  <c r="F2" i="2"/>
  <c r="E2" i="2"/>
  <c r="J11" i="1"/>
  <c r="J12" i="1"/>
  <c r="J9" i="1"/>
  <c r="I20" i="1"/>
  <c r="I19" i="1"/>
  <c r="H20" i="1"/>
  <c r="H19" i="1"/>
  <c r="I16" i="1"/>
  <c r="I15" i="1"/>
  <c r="H16" i="1"/>
  <c r="H15" i="1"/>
  <c r="I8" i="1"/>
  <c r="I7" i="1"/>
  <c r="H7" i="1"/>
  <c r="H8" i="1"/>
  <c r="F8" i="1"/>
  <c r="G8" i="1"/>
  <c r="F7" i="1"/>
  <c r="G7" i="1"/>
  <c r="E7" i="1"/>
  <c r="E8" i="1"/>
  <c r="F9" i="1"/>
  <c r="F12" i="1"/>
  <c r="G9" i="1"/>
  <c r="G12" i="1"/>
  <c r="E9" i="1"/>
  <c r="H9" i="1"/>
  <c r="H12" i="1"/>
  <c r="I9" i="1"/>
  <c r="I12" i="1"/>
  <c r="E12" i="1"/>
  <c r="F11" i="1"/>
  <c r="G11" i="1"/>
  <c r="H11" i="1"/>
  <c r="I11" i="1"/>
  <c r="E11" i="1"/>
  <c r="F2" i="1"/>
  <c r="G2" i="1"/>
  <c r="E2" i="1"/>
</calcChain>
</file>

<file path=xl/sharedStrings.xml><?xml version="1.0" encoding="utf-8"?>
<sst xmlns="http://schemas.openxmlformats.org/spreadsheetml/2006/main" count="62" uniqueCount="21">
  <si>
    <t xml:space="preserve">reactant </t>
  </si>
  <si>
    <t>ts</t>
  </si>
  <si>
    <t>prod</t>
  </si>
  <si>
    <t>barrier react -&gt; ts</t>
  </si>
  <si>
    <t>barrier ts-&gt; prod</t>
  </si>
  <si>
    <t>Thermal correction to Energy</t>
  </si>
  <si>
    <t>Thermal correction to Enthalpy</t>
  </si>
  <si>
    <t>Thermal correction to Gibbs Free Energy</t>
  </si>
  <si>
    <t>Sum of electronic and zero-point Energies</t>
  </si>
  <si>
    <t xml:space="preserve"> Sum of electronic and thermal Energies</t>
  </si>
  <si>
    <t xml:space="preserve"> Sum of electronic and thermal Enthalpies</t>
  </si>
  <si>
    <t xml:space="preserve"> Sum of electronic and thermal Free Energies</t>
  </si>
  <si>
    <t>Zero-point correction (Hartree/Particle)</t>
  </si>
  <si>
    <t>Normalised to Re</t>
  </si>
  <si>
    <t>Convert from Hartree -&gt; KJ/mol</t>
  </si>
  <si>
    <t>Convert from Hartree -&gt; KCal/mol</t>
  </si>
  <si>
    <t>Using Free Energies:</t>
  </si>
  <si>
    <t>Using Enthalpies:</t>
  </si>
  <si>
    <t>Using Energies:</t>
  </si>
  <si>
    <t>without a barrier:</t>
  </si>
  <si>
    <t>Corrected: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</si>
</sst>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0" fontId="0" fillId="0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H12" sqref="H12"/>
    </sheetView>
  </sheetViews>
  <sheetFormatPr defaultRowHeight="15" x14ac:dyDescent="0.25"/>
  <cols>
    <col min="1" max="1" width="41.42578125" bestFit="1" customWidth="1"/>
    <col min="2" max="4" width="14.42578125" bestFit="1" customWidth="1"/>
    <col min="5" max="7" width="12.7109375" customWidth="1"/>
    <col min="8" max="8" width="16.140625" bestFit="1" customWidth="1"/>
    <col min="9" max="9" width="15.42578125" bestFit="1" customWidth="1"/>
  </cols>
  <sheetData>
    <row r="1" spans="1:10" ht="15.75" thickBot="1" x14ac:dyDescent="0.3">
      <c r="A1" s="7"/>
      <c r="B1" s="8" t="s">
        <v>0</v>
      </c>
      <c r="C1" s="8" t="s">
        <v>1</v>
      </c>
      <c r="D1" s="8" t="s">
        <v>2</v>
      </c>
      <c r="E1" s="7" t="s">
        <v>13</v>
      </c>
      <c r="F1" s="8"/>
      <c r="G1" s="9"/>
      <c r="H1" s="8" t="s">
        <v>3</v>
      </c>
      <c r="I1" s="9" t="s">
        <v>4</v>
      </c>
    </row>
    <row r="2" spans="1:10" x14ac:dyDescent="0.25">
      <c r="A2" s="1" t="s">
        <v>12</v>
      </c>
      <c r="B2" s="11">
        <v>0.19378899999999999</v>
      </c>
      <c r="C2" s="11">
        <v>0.18609999999999999</v>
      </c>
      <c r="D2" s="11">
        <v>0.18582599999999999</v>
      </c>
      <c r="E2" s="15">
        <f>$B$2-B2</f>
        <v>0</v>
      </c>
      <c r="F2" s="16">
        <f t="shared" ref="F2:G2" si="0">$B$2-C2</f>
        <v>7.6890000000000014E-3</v>
      </c>
      <c r="G2" s="17">
        <f t="shared" si="0"/>
        <v>7.9629999999999979E-3</v>
      </c>
      <c r="H2" s="2"/>
      <c r="I2" s="3"/>
    </row>
    <row r="3" spans="1:10" x14ac:dyDescent="0.25">
      <c r="A3" s="1" t="s">
        <v>5</v>
      </c>
      <c r="B3" s="11">
        <v>0.21391499999999999</v>
      </c>
      <c r="C3" s="11">
        <v>0.20624999999999999</v>
      </c>
      <c r="D3" s="11">
        <v>0.20761299999999999</v>
      </c>
      <c r="E3" s="1"/>
      <c r="F3" s="2"/>
      <c r="G3" s="3"/>
      <c r="H3" s="2"/>
      <c r="I3" s="3"/>
    </row>
    <row r="4" spans="1:10" x14ac:dyDescent="0.25">
      <c r="A4" s="1" t="s">
        <v>6</v>
      </c>
      <c r="B4" s="11">
        <v>0.21485899999999999</v>
      </c>
      <c r="C4" s="11">
        <v>0.20719399999999999</v>
      </c>
      <c r="D4" s="11">
        <v>0.20855699999999999</v>
      </c>
      <c r="E4" s="1"/>
      <c r="F4" s="2"/>
      <c r="G4" s="3"/>
      <c r="H4" s="2"/>
      <c r="I4" s="3"/>
    </row>
    <row r="5" spans="1:10" x14ac:dyDescent="0.25">
      <c r="A5" s="1" t="s">
        <v>7</v>
      </c>
      <c r="B5" s="11">
        <v>0.13933699999999999</v>
      </c>
      <c r="C5" s="11">
        <v>0.132358</v>
      </c>
      <c r="D5" s="11">
        <v>0.12740199999999999</v>
      </c>
      <c r="E5" s="1"/>
      <c r="F5" s="2"/>
      <c r="G5" s="3"/>
      <c r="H5" s="2"/>
      <c r="I5" s="3"/>
    </row>
    <row r="6" spans="1:10" x14ac:dyDescent="0.25">
      <c r="A6" s="1" t="s">
        <v>8</v>
      </c>
      <c r="B6" s="11">
        <v>-1315.9312890000001</v>
      </c>
      <c r="C6" s="11">
        <v>-1315.8644859999999</v>
      </c>
      <c r="D6" s="11">
        <v>-1315.8799570000001</v>
      </c>
      <c r="E6" s="1"/>
      <c r="F6" s="2"/>
      <c r="G6" s="3"/>
      <c r="H6" s="2"/>
      <c r="I6" s="3"/>
      <c r="J6" t="s">
        <v>19</v>
      </c>
    </row>
    <row r="7" spans="1:10" x14ac:dyDescent="0.25">
      <c r="A7" s="1" t="s">
        <v>9</v>
      </c>
      <c r="B7" s="11">
        <v>-1315.9111640000001</v>
      </c>
      <c r="C7" s="11">
        <v>-1315.844337</v>
      </c>
      <c r="D7" s="11">
        <v>-1315.85817</v>
      </c>
      <c r="E7" s="18">
        <f>$B$7-B7</f>
        <v>0</v>
      </c>
      <c r="F7" s="11">
        <f t="shared" ref="F7:G7" si="1">$B$7-C7</f>
        <v>-6.6827000000102998E-2</v>
      </c>
      <c r="G7" s="13">
        <f t="shared" si="1"/>
        <v>-5.2994000000126107E-2</v>
      </c>
      <c r="H7" s="11">
        <f>E7-F7</f>
        <v>6.6827000000102998E-2</v>
      </c>
      <c r="I7" s="13">
        <f>G7-F7</f>
        <v>1.3832999999976892E-2</v>
      </c>
    </row>
    <row r="8" spans="1:10" x14ac:dyDescent="0.25">
      <c r="A8" s="1" t="s">
        <v>10</v>
      </c>
      <c r="B8" s="11">
        <v>-1315.91022</v>
      </c>
      <c r="C8" s="11">
        <v>-1315.8433930000001</v>
      </c>
      <c r="D8" s="11">
        <v>-1315.8572260000001</v>
      </c>
      <c r="E8" s="18">
        <f>$B$8-B8</f>
        <v>0</v>
      </c>
      <c r="F8" s="11">
        <f t="shared" ref="F8:G8" si="2">$B$8-C8</f>
        <v>-6.6826999999875625E-2</v>
      </c>
      <c r="G8" s="13">
        <f t="shared" si="2"/>
        <v>-5.2993999999898733E-2</v>
      </c>
      <c r="H8" s="11">
        <f>E8-F8</f>
        <v>6.6826999999875625E-2</v>
      </c>
      <c r="I8" s="13">
        <f>G8-F8</f>
        <v>1.3832999999976892E-2</v>
      </c>
    </row>
    <row r="9" spans="1:10" ht="15.75" thickBot="1" x14ac:dyDescent="0.3">
      <c r="A9" s="4" t="s">
        <v>11</v>
      </c>
      <c r="B9" s="12">
        <v>-1315.9857420000001</v>
      </c>
      <c r="C9" s="12">
        <v>-1315.9182290000001</v>
      </c>
      <c r="D9" s="12">
        <v>-1315.9383809999999</v>
      </c>
      <c r="E9" s="4">
        <f>$B$9-B9</f>
        <v>0</v>
      </c>
      <c r="F9" s="5">
        <f t="shared" ref="F9:G9" si="3">$B$9-C9</f>
        <v>-6.7512999999962631E-2</v>
      </c>
      <c r="G9" s="6">
        <f t="shared" si="3"/>
        <v>-4.736100000013721E-2</v>
      </c>
      <c r="H9" s="5">
        <f>E9-F9</f>
        <v>6.7512999999962631E-2</v>
      </c>
      <c r="I9" s="6">
        <f>G9-F9</f>
        <v>2.0151999999825421E-2</v>
      </c>
      <c r="J9">
        <f>E9-G9</f>
        <v>4.736100000013721E-2</v>
      </c>
    </row>
    <row r="10" spans="1:10" x14ac:dyDescent="0.25">
      <c r="A10" s="14" t="s">
        <v>16</v>
      </c>
      <c r="B10" s="11"/>
      <c r="C10" s="11"/>
      <c r="D10" s="11"/>
      <c r="E10" s="2"/>
      <c r="F10" s="2"/>
      <c r="G10" s="2"/>
      <c r="H10" s="2"/>
      <c r="I10" s="2"/>
    </row>
    <row r="11" spans="1:10" x14ac:dyDescent="0.25">
      <c r="A11" t="s">
        <v>14</v>
      </c>
      <c r="E11">
        <f>E9*2600</f>
        <v>0</v>
      </c>
      <c r="F11">
        <f t="shared" ref="F11:I11" si="4">F9*2600</f>
        <v>-175.53379999990284</v>
      </c>
      <c r="G11">
        <f t="shared" si="4"/>
        <v>-123.13860000035675</v>
      </c>
      <c r="H11">
        <f t="shared" si="4"/>
        <v>175.53379999990284</v>
      </c>
      <c r="I11">
        <f t="shared" si="4"/>
        <v>52.395199999546094</v>
      </c>
      <c r="J11">
        <f t="shared" ref="J11" si="5">J9*2600</f>
        <v>123.13860000035675</v>
      </c>
    </row>
    <row r="12" spans="1:10" x14ac:dyDescent="0.25">
      <c r="A12" s="10" t="s">
        <v>15</v>
      </c>
      <c r="B12" s="10"/>
      <c r="C12" s="10"/>
      <c r="D12" s="10"/>
      <c r="E12" s="10">
        <f>E9*630</f>
        <v>0</v>
      </c>
      <c r="F12" s="10">
        <f t="shared" ref="F12:I12" si="6">F9*630</f>
        <v>-42.533189999976457</v>
      </c>
      <c r="G12" s="10">
        <f t="shared" si="6"/>
        <v>-29.837430000086442</v>
      </c>
      <c r="H12" s="10">
        <f t="shared" si="6"/>
        <v>42.533189999976457</v>
      </c>
      <c r="I12" s="10">
        <f t="shared" si="6"/>
        <v>12.695759999890015</v>
      </c>
      <c r="J12" s="10">
        <f t="shared" ref="J12" si="7">J9*630</f>
        <v>29.837430000086442</v>
      </c>
    </row>
    <row r="14" spans="1:10" x14ac:dyDescent="0.25">
      <c r="A14" t="s">
        <v>17</v>
      </c>
    </row>
    <row r="15" spans="1:10" x14ac:dyDescent="0.25">
      <c r="A15" t="s">
        <v>14</v>
      </c>
      <c r="H15">
        <f>H8*2600</f>
        <v>173.75019999967662</v>
      </c>
      <c r="I15">
        <f>I8*2600</f>
        <v>35.965799999939918</v>
      </c>
    </row>
    <row r="16" spans="1:10" x14ac:dyDescent="0.25">
      <c r="A16" s="10" t="s">
        <v>15</v>
      </c>
      <c r="H16" s="10">
        <f>H9*630</f>
        <v>42.533189999976457</v>
      </c>
      <c r="I16" s="10">
        <f>I8*630</f>
        <v>8.7147899999854417</v>
      </c>
    </row>
    <row r="18" spans="1:9" x14ac:dyDescent="0.25">
      <c r="A18" t="s">
        <v>18</v>
      </c>
    </row>
    <row r="19" spans="1:9" x14ac:dyDescent="0.25">
      <c r="A19" t="s">
        <v>14</v>
      </c>
      <c r="H19">
        <f>H7*2600</f>
        <v>173.7502000002678</v>
      </c>
      <c r="I19">
        <f>I7*2600</f>
        <v>35.965799999939918</v>
      </c>
    </row>
    <row r="20" spans="1:9" x14ac:dyDescent="0.25">
      <c r="A20" s="10" t="s">
        <v>15</v>
      </c>
      <c r="H20" s="10">
        <f>H7*630</f>
        <v>42.101010000064889</v>
      </c>
      <c r="I20" s="10">
        <f>I7*630</f>
        <v>8.7147899999854417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J19" sqref="A1:J19"/>
    </sheetView>
  </sheetViews>
  <sheetFormatPr defaultRowHeight="15" x14ac:dyDescent="0.25"/>
  <cols>
    <col min="1" max="1" width="38.42578125" bestFit="1" customWidth="1"/>
    <col min="2" max="4" width="12" bestFit="1" customWidth="1"/>
    <col min="5" max="5" width="15.140625" bestFit="1" customWidth="1"/>
    <col min="6" max="7" width="9.42578125" bestFit="1" customWidth="1"/>
    <col min="8" max="8" width="15.28515625" bestFit="1" customWidth="1"/>
    <col min="9" max="9" width="14.5703125" bestFit="1" customWidth="1"/>
    <col min="10" max="10" width="15.5703125" bestFit="1" customWidth="1"/>
  </cols>
  <sheetData>
    <row r="1" spans="1:10" ht="15.75" thickBot="1" x14ac:dyDescent="0.3">
      <c r="A1" s="7"/>
      <c r="B1" s="8" t="s">
        <v>0</v>
      </c>
      <c r="C1" s="8" t="s">
        <v>1</v>
      </c>
      <c r="D1" s="8" t="s">
        <v>2</v>
      </c>
      <c r="E1" s="7" t="s">
        <v>13</v>
      </c>
      <c r="F1" s="8"/>
      <c r="G1" s="9"/>
      <c r="H1" s="8" t="s">
        <v>3</v>
      </c>
      <c r="I1" s="9" t="s">
        <v>4</v>
      </c>
    </row>
    <row r="2" spans="1:10" x14ac:dyDescent="0.25">
      <c r="A2" s="1" t="s">
        <v>12</v>
      </c>
      <c r="B2" s="11">
        <v>0.19378899999999999</v>
      </c>
      <c r="C2" s="11">
        <v>0.18609999999999999</v>
      </c>
      <c r="D2" s="11">
        <v>0.18582599999999999</v>
      </c>
      <c r="E2" s="15">
        <f>$B$2-B2</f>
        <v>0</v>
      </c>
      <c r="F2" s="16">
        <f t="shared" ref="F2:G2" si="0">$B$2-C2</f>
        <v>7.6890000000000014E-3</v>
      </c>
      <c r="G2" s="17">
        <f t="shared" si="0"/>
        <v>7.9629999999999979E-3</v>
      </c>
      <c r="H2" s="2"/>
      <c r="I2" s="3"/>
    </row>
    <row r="3" spans="1:10" x14ac:dyDescent="0.25">
      <c r="A3" s="1" t="s">
        <v>5</v>
      </c>
      <c r="B3" s="11">
        <v>0.21391499999999999</v>
      </c>
      <c r="C3" s="11">
        <v>0.20624999999999999</v>
      </c>
      <c r="D3" s="11">
        <v>0.20761299999999999</v>
      </c>
      <c r="E3" s="1"/>
      <c r="F3" s="2"/>
      <c r="G3" s="3"/>
      <c r="H3" s="2"/>
      <c r="I3" s="3"/>
    </row>
    <row r="4" spans="1:10" x14ac:dyDescent="0.25">
      <c r="A4" s="1" t="s">
        <v>6</v>
      </c>
      <c r="B4" s="11">
        <v>0.21485899999999999</v>
      </c>
      <c r="C4" s="11">
        <v>0.20719399999999999</v>
      </c>
      <c r="D4" s="11">
        <v>0.20855699999999999</v>
      </c>
      <c r="E4" s="1"/>
      <c r="F4" s="2"/>
      <c r="G4" s="3"/>
      <c r="H4" s="2"/>
      <c r="I4" s="3"/>
    </row>
    <row r="5" spans="1:10" x14ac:dyDescent="0.25">
      <c r="A5" s="1" t="s">
        <v>7</v>
      </c>
      <c r="B5" s="11">
        <v>0.13933699999999999</v>
      </c>
      <c r="C5" s="11">
        <v>0.132358</v>
      </c>
      <c r="D5" s="11">
        <v>0.12740199999999999</v>
      </c>
      <c r="E5" s="1"/>
      <c r="F5" s="2"/>
      <c r="G5" s="3"/>
      <c r="H5" s="2"/>
      <c r="I5" s="3"/>
    </row>
    <row r="6" spans="1:10" x14ac:dyDescent="0.25">
      <c r="A6" s="1"/>
      <c r="B6" s="11"/>
      <c r="C6" s="11"/>
      <c r="D6" s="11"/>
      <c r="E6" s="1"/>
      <c r="F6" s="2"/>
      <c r="G6" s="3"/>
      <c r="H6" s="2"/>
      <c r="I6" s="3"/>
    </row>
    <row r="7" spans="1:10" x14ac:dyDescent="0.25">
      <c r="A7" s="1" t="s">
        <v>8</v>
      </c>
      <c r="B7" s="11">
        <v>-1315.9312890000001</v>
      </c>
      <c r="C7" s="11">
        <v>-1315.8644859999999</v>
      </c>
      <c r="D7" s="11">
        <v>-1315.8799570000001</v>
      </c>
      <c r="E7" s="1"/>
      <c r="F7" s="2"/>
      <c r="G7" s="3"/>
      <c r="H7" s="2"/>
      <c r="I7" s="3"/>
    </row>
    <row r="8" spans="1:10" x14ac:dyDescent="0.25">
      <c r="A8" s="1" t="s">
        <v>9</v>
      </c>
      <c r="B8" s="11">
        <v>-1315.9111640000001</v>
      </c>
      <c r="C8" s="11">
        <v>-1315.844337</v>
      </c>
      <c r="D8" s="11">
        <v>-1315.85817</v>
      </c>
      <c r="E8" s="1"/>
      <c r="F8" s="2"/>
      <c r="G8" s="3"/>
      <c r="H8" s="2"/>
      <c r="I8" s="3"/>
    </row>
    <row r="9" spans="1:10" x14ac:dyDescent="0.25">
      <c r="A9" s="1" t="s">
        <v>10</v>
      </c>
      <c r="B9" s="11">
        <v>-1315.91022</v>
      </c>
      <c r="C9" s="11">
        <v>-1315.8433930000001</v>
      </c>
      <c r="D9" s="11">
        <v>-1315.8572260000001</v>
      </c>
      <c r="E9" s="1"/>
      <c r="F9" s="2"/>
      <c r="G9" s="3"/>
      <c r="H9" s="2"/>
      <c r="I9" s="3"/>
    </row>
    <row r="10" spans="1:10" ht="15.75" thickBot="1" x14ac:dyDescent="0.3">
      <c r="A10" s="4" t="s">
        <v>11</v>
      </c>
      <c r="B10" s="12">
        <v>-1315.9857420000001</v>
      </c>
      <c r="C10" s="12">
        <v>-1315.9182290000001</v>
      </c>
      <c r="D10" s="12">
        <v>-1315.9383809999999</v>
      </c>
      <c r="E10" s="1"/>
      <c r="F10" s="2"/>
      <c r="G10" s="3"/>
      <c r="H10" s="2"/>
      <c r="I10" s="3"/>
    </row>
    <row r="11" spans="1:10" x14ac:dyDescent="0.25">
      <c r="A11" s="1"/>
      <c r="B11" s="11"/>
      <c r="C11" s="11"/>
      <c r="D11" s="11"/>
      <c r="E11" s="1"/>
      <c r="F11" s="2"/>
      <c r="G11" s="3"/>
      <c r="H11" s="2"/>
      <c r="I11" s="3"/>
    </row>
    <row r="12" spans="1:10" x14ac:dyDescent="0.25">
      <c r="A12" s="1"/>
      <c r="B12" s="11"/>
      <c r="C12" s="11"/>
      <c r="D12" s="11"/>
      <c r="E12" s="1"/>
      <c r="F12" s="2"/>
      <c r="G12" s="3"/>
      <c r="H12" s="2"/>
      <c r="I12" s="3"/>
    </row>
    <row r="13" spans="1:10" x14ac:dyDescent="0.25">
      <c r="A13" s="14" t="s">
        <v>20</v>
      </c>
      <c r="E13" s="1"/>
      <c r="F13" s="2"/>
      <c r="G13" s="3"/>
      <c r="H13" s="2"/>
      <c r="I13" s="3"/>
      <c r="J13" t="s">
        <v>19</v>
      </c>
    </row>
    <row r="14" spans="1:10" x14ac:dyDescent="0.25">
      <c r="E14" s="18">
        <f>$B$8-B8</f>
        <v>0</v>
      </c>
      <c r="F14" s="11">
        <f>$B$8-C8</f>
        <v>-6.6827000000102998E-2</v>
      </c>
      <c r="G14" s="13">
        <f>$B$8-D8</f>
        <v>-5.2994000000126107E-2</v>
      </c>
      <c r="H14" s="11">
        <f>E14-F14</f>
        <v>6.6827000000102998E-2</v>
      </c>
      <c r="I14" s="13">
        <f>G14-F14</f>
        <v>1.3832999999976892E-2</v>
      </c>
    </row>
    <row r="15" spans="1:10" x14ac:dyDescent="0.25">
      <c r="E15" s="18">
        <f>$B$9-B9</f>
        <v>0</v>
      </c>
      <c r="F15" s="11">
        <f>$B$9-C9</f>
        <v>-6.6826999999875625E-2</v>
      </c>
      <c r="G15" s="13">
        <f>$B$9-D9</f>
        <v>-5.2993999999898733E-2</v>
      </c>
      <c r="H15" s="11">
        <f>E15-F15</f>
        <v>6.6826999999875625E-2</v>
      </c>
      <c r="I15" s="13">
        <f>G15-F15</f>
        <v>1.3832999999976892E-2</v>
      </c>
    </row>
    <row r="16" spans="1:10" ht="15.75" thickBot="1" x14ac:dyDescent="0.3">
      <c r="E16" s="4">
        <f>$B$10-B10</f>
        <v>0</v>
      </c>
      <c r="F16" s="5">
        <f>$B$10-C10</f>
        <v>-6.7512999999962631E-2</v>
      </c>
      <c r="G16" s="6">
        <f>$B$10-D10</f>
        <v>-4.736100000013721E-2</v>
      </c>
      <c r="H16" s="5">
        <f>E16-F16</f>
        <v>6.7512999999962631E-2</v>
      </c>
      <c r="I16" s="6">
        <f>G16-F16</f>
        <v>2.0151999999825421E-2</v>
      </c>
      <c r="J16">
        <f>E16-G16</f>
        <v>4.736100000013721E-2</v>
      </c>
    </row>
    <row r="17" spans="1:10" x14ac:dyDescent="0.25">
      <c r="A17" s="14" t="s">
        <v>16</v>
      </c>
      <c r="B17" s="11"/>
      <c r="C17" s="11"/>
      <c r="D17" s="11"/>
      <c r="E17" s="2"/>
      <c r="F17" s="2"/>
      <c r="G17" s="2"/>
      <c r="H17" s="2"/>
      <c r="I17" s="2"/>
    </row>
    <row r="18" spans="1:10" x14ac:dyDescent="0.25">
      <c r="A18" t="s">
        <v>14</v>
      </c>
      <c r="E18">
        <f>E16*2600</f>
        <v>0</v>
      </c>
      <c r="F18">
        <f t="shared" ref="F18:J18" si="1">F16*2600</f>
        <v>-175.53379999990284</v>
      </c>
      <c r="G18">
        <f t="shared" si="1"/>
        <v>-123.13860000035675</v>
      </c>
      <c r="H18">
        <f t="shared" si="1"/>
        <v>175.53379999990284</v>
      </c>
      <c r="I18">
        <f t="shared" si="1"/>
        <v>52.395199999546094</v>
      </c>
      <c r="J18">
        <f t="shared" si="1"/>
        <v>123.13860000035675</v>
      </c>
    </row>
    <row r="19" spans="1:10" x14ac:dyDescent="0.25">
      <c r="A19" s="10" t="s">
        <v>15</v>
      </c>
      <c r="B19" s="10"/>
      <c r="C19" s="10"/>
      <c r="D19" s="10"/>
      <c r="E19" s="10">
        <f>E16*630</f>
        <v>0</v>
      </c>
      <c r="F19" s="10">
        <f t="shared" ref="F19:J19" si="2">F16*630</f>
        <v>-42.533189999976457</v>
      </c>
      <c r="G19" s="10">
        <f t="shared" si="2"/>
        <v>-29.837430000086442</v>
      </c>
      <c r="H19" s="10">
        <f t="shared" si="2"/>
        <v>42.533189999976457</v>
      </c>
      <c r="I19" s="10">
        <f t="shared" si="2"/>
        <v>12.695759999890015</v>
      </c>
      <c r="J19" s="10">
        <f t="shared" si="2"/>
        <v>29.837430000086442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sqref="A1:XFD1048576"/>
    </sheetView>
  </sheetViews>
  <sheetFormatPr defaultRowHeight="15" x14ac:dyDescent="0.25"/>
  <cols>
    <col min="1" max="1" width="41.42578125" bestFit="1" customWidth="1"/>
    <col min="2" max="4" width="12.28515625" bestFit="1" customWidth="1"/>
    <col min="5" max="5" width="16.42578125" bestFit="1" customWidth="1"/>
    <col min="6" max="7" width="9.7109375" bestFit="1" customWidth="1"/>
    <col min="8" max="8" width="16.140625" bestFit="1" customWidth="1"/>
    <col min="9" max="9" width="15.42578125" bestFit="1" customWidth="1"/>
    <col min="10" max="10" width="16.5703125" bestFit="1" customWidth="1"/>
  </cols>
  <sheetData>
    <row r="1" spans="1:10" ht="15.75" thickBot="1" x14ac:dyDescent="0.3">
      <c r="A1" s="7"/>
      <c r="B1" s="8" t="s">
        <v>0</v>
      </c>
      <c r="C1" s="8" t="s">
        <v>1</v>
      </c>
      <c r="D1" s="8" t="s">
        <v>2</v>
      </c>
      <c r="E1" s="7" t="s">
        <v>13</v>
      </c>
      <c r="F1" s="8"/>
      <c r="G1" s="9"/>
      <c r="H1" s="8" t="s">
        <v>3</v>
      </c>
      <c r="I1" s="9" t="s">
        <v>4</v>
      </c>
    </row>
    <row r="2" spans="1:10" x14ac:dyDescent="0.25">
      <c r="A2" s="1" t="s">
        <v>12</v>
      </c>
      <c r="B2" s="11">
        <v>0.19378899999999999</v>
      </c>
      <c r="C2" s="11">
        <v>0.18609999999999999</v>
      </c>
      <c r="D2" s="11">
        <v>0.18582599999999999</v>
      </c>
      <c r="E2" s="15">
        <f>$B$2-B2</f>
        <v>0</v>
      </c>
      <c r="F2" s="16">
        <f t="shared" ref="F2:G2" si="0">$B$2-C2</f>
        <v>7.6890000000000014E-3</v>
      </c>
      <c r="G2" s="17">
        <f t="shared" si="0"/>
        <v>7.9629999999999979E-3</v>
      </c>
      <c r="H2" s="2"/>
      <c r="I2" s="3"/>
    </row>
    <row r="3" spans="1:10" x14ac:dyDescent="0.25">
      <c r="A3" s="1" t="s">
        <v>5</v>
      </c>
      <c r="B3" s="11">
        <v>0.21391499999999999</v>
      </c>
      <c r="C3" s="11">
        <v>0.20624999999999999</v>
      </c>
      <c r="D3" s="11">
        <v>0.20761299999999999</v>
      </c>
      <c r="E3" s="1"/>
      <c r="F3" s="2"/>
      <c r="G3" s="3"/>
      <c r="H3" s="2"/>
      <c r="I3" s="3"/>
    </row>
    <row r="4" spans="1:10" x14ac:dyDescent="0.25">
      <c r="A4" s="1" t="s">
        <v>6</v>
      </c>
      <c r="B4" s="11">
        <v>0.21485899999999999</v>
      </c>
      <c r="C4" s="11">
        <v>0.20719399999999999</v>
      </c>
      <c r="D4" s="11">
        <v>0.20855699999999999</v>
      </c>
      <c r="E4" s="1"/>
      <c r="F4" s="2"/>
      <c r="G4" s="3"/>
      <c r="H4" s="2"/>
      <c r="I4" s="3"/>
    </row>
    <row r="5" spans="1:10" x14ac:dyDescent="0.25">
      <c r="A5" s="1" t="s">
        <v>7</v>
      </c>
      <c r="B5" s="11">
        <v>0.13933699999999999</v>
      </c>
      <c r="C5" s="11">
        <v>0.132358</v>
      </c>
      <c r="D5" s="11">
        <v>0.12740199999999999</v>
      </c>
      <c r="E5" s="1"/>
      <c r="F5" s="2"/>
      <c r="G5" s="3"/>
      <c r="H5" s="2"/>
      <c r="I5" s="3"/>
    </row>
    <row r="6" spans="1:10" x14ac:dyDescent="0.25">
      <c r="A6" s="1"/>
      <c r="B6" s="11"/>
      <c r="C6" s="11"/>
      <c r="D6" s="11"/>
      <c r="E6" s="1"/>
      <c r="F6" s="2"/>
      <c r="G6" s="3"/>
      <c r="H6" s="2"/>
      <c r="I6" s="3"/>
    </row>
    <row r="7" spans="1:10" x14ac:dyDescent="0.25">
      <c r="A7" s="1" t="s">
        <v>8</v>
      </c>
      <c r="B7" s="11">
        <v>-1315.9312890000001</v>
      </c>
      <c r="C7" s="11">
        <v>-1315.8644859999999</v>
      </c>
      <c r="D7" s="11">
        <v>-1315.8799570000001</v>
      </c>
      <c r="E7" s="1"/>
      <c r="F7" s="2"/>
      <c r="G7" s="3"/>
      <c r="H7" s="2"/>
      <c r="I7" s="3"/>
    </row>
    <row r="8" spans="1:10" x14ac:dyDescent="0.25">
      <c r="A8" s="1" t="s">
        <v>9</v>
      </c>
      <c r="B8" s="11">
        <v>-1315.9111640000001</v>
      </c>
      <c r="C8" s="11">
        <v>-1315.844337</v>
      </c>
      <c r="D8" s="11">
        <v>-1315.85817</v>
      </c>
      <c r="E8" s="1"/>
      <c r="F8" s="2"/>
      <c r="G8" s="3"/>
      <c r="H8" s="2"/>
      <c r="I8" s="3"/>
    </row>
    <row r="9" spans="1:10" x14ac:dyDescent="0.25">
      <c r="A9" s="1" t="s">
        <v>10</v>
      </c>
      <c r="B9" s="11">
        <v>-1315.91022</v>
      </c>
      <c r="C9" s="11">
        <v>-1315.8433930000001</v>
      </c>
      <c r="D9" s="11">
        <v>-1315.8572260000001</v>
      </c>
      <c r="E9" s="1"/>
      <c r="F9" s="2"/>
      <c r="G9" s="3"/>
      <c r="H9" s="2"/>
      <c r="I9" s="3"/>
    </row>
    <row r="10" spans="1:10" ht="15.75" thickBot="1" x14ac:dyDescent="0.3">
      <c r="A10" s="4" t="s">
        <v>11</v>
      </c>
      <c r="B10" s="12">
        <v>-1315.9857420000001</v>
      </c>
      <c r="C10" s="12">
        <v>-1315.9182290000001</v>
      </c>
      <c r="D10" s="12">
        <v>-1315.9383809999999</v>
      </c>
      <c r="E10" s="1"/>
      <c r="F10" s="2"/>
      <c r="G10" s="3"/>
      <c r="H10" s="2"/>
      <c r="I10" s="3"/>
    </row>
    <row r="11" spans="1:10" x14ac:dyDescent="0.25">
      <c r="A11" s="1"/>
      <c r="B11" s="11"/>
      <c r="C11" s="11"/>
      <c r="D11" s="11"/>
      <c r="E11" s="1"/>
      <c r="F11" s="2"/>
      <c r="G11" s="3"/>
      <c r="H11" s="2"/>
      <c r="I11" s="3"/>
    </row>
    <row r="12" spans="1:10" x14ac:dyDescent="0.25">
      <c r="A12" s="1"/>
      <c r="B12" s="11"/>
      <c r="C12" s="11"/>
      <c r="D12" s="11"/>
      <c r="E12" s="1"/>
      <c r="F12" s="2"/>
      <c r="G12" s="3"/>
      <c r="H12" s="2"/>
      <c r="I12" s="3"/>
    </row>
    <row r="13" spans="1:10" x14ac:dyDescent="0.25">
      <c r="A13" s="14" t="s">
        <v>20</v>
      </c>
      <c r="E13" s="1"/>
      <c r="F13" s="2"/>
      <c r="G13" s="3"/>
      <c r="H13" s="2"/>
      <c r="I13" s="3"/>
      <c r="J13" t="s">
        <v>19</v>
      </c>
    </row>
    <row r="14" spans="1:10" x14ac:dyDescent="0.25">
      <c r="E14" s="18">
        <f>$B$8-B8</f>
        <v>0</v>
      </c>
      <c r="F14" s="11">
        <f>$B$8-C8</f>
        <v>-6.6827000000102998E-2</v>
      </c>
      <c r="G14" s="13">
        <f>$B$8-D8</f>
        <v>-5.2994000000126107E-2</v>
      </c>
      <c r="H14" s="11">
        <f>E14-F14</f>
        <v>6.6827000000102998E-2</v>
      </c>
      <c r="I14" s="13">
        <f>G14-F14</f>
        <v>1.3832999999976892E-2</v>
      </c>
    </row>
    <row r="15" spans="1:10" x14ac:dyDescent="0.25">
      <c r="E15" s="18">
        <f>$B$9-B9</f>
        <v>0</v>
      </c>
      <c r="F15" s="11">
        <f>$B$9-C9</f>
        <v>-6.6826999999875625E-2</v>
      </c>
      <c r="G15" s="13">
        <f>$B$9-D9</f>
        <v>-5.2993999999898733E-2</v>
      </c>
      <c r="H15" s="11">
        <f>E15-F15</f>
        <v>6.6826999999875625E-2</v>
      </c>
      <c r="I15" s="13">
        <f>G15-F15</f>
        <v>1.3832999999976892E-2</v>
      </c>
    </row>
    <row r="16" spans="1:10" ht="15.75" thickBot="1" x14ac:dyDescent="0.3">
      <c r="E16" s="4">
        <f>$B$10-B10</f>
        <v>0</v>
      </c>
      <c r="F16" s="5">
        <f>$B$10-C10</f>
        <v>-6.7512999999962631E-2</v>
      </c>
      <c r="G16" s="6">
        <f>$B$10-D10</f>
        <v>-4.736100000013721E-2</v>
      </c>
      <c r="H16" s="5">
        <f>E16-F16</f>
        <v>6.7512999999962631E-2</v>
      </c>
      <c r="I16" s="6">
        <f>G16-F16</f>
        <v>2.0151999999825421E-2</v>
      </c>
      <c r="J16">
        <f>E16-G16</f>
        <v>4.736100000013721E-2</v>
      </c>
    </row>
    <row r="17" spans="1:10" x14ac:dyDescent="0.25">
      <c r="A17" s="14" t="s">
        <v>16</v>
      </c>
      <c r="B17" s="11"/>
      <c r="C17" s="11"/>
      <c r="D17" s="11"/>
      <c r="E17" s="2"/>
      <c r="F17" s="2"/>
      <c r="G17" s="2"/>
      <c r="H17" s="2"/>
      <c r="I17" s="2"/>
    </row>
    <row r="18" spans="1:10" x14ac:dyDescent="0.25">
      <c r="A18" t="s">
        <v>14</v>
      </c>
      <c r="E18">
        <f>E16*2600</f>
        <v>0</v>
      </c>
      <c r="F18">
        <f t="shared" ref="F18:J18" si="1">F16*2600</f>
        <v>-175.53379999990284</v>
      </c>
      <c r="G18">
        <f t="shared" si="1"/>
        <v>-123.13860000035675</v>
      </c>
      <c r="H18">
        <f t="shared" si="1"/>
        <v>175.53379999990284</v>
      </c>
      <c r="I18">
        <f t="shared" si="1"/>
        <v>52.395199999546094</v>
      </c>
      <c r="J18">
        <f t="shared" si="1"/>
        <v>123.13860000035675</v>
      </c>
    </row>
    <row r="19" spans="1:10" x14ac:dyDescent="0.25">
      <c r="A19" s="10" t="s">
        <v>15</v>
      </c>
      <c r="B19" s="10"/>
      <c r="C19" s="10"/>
      <c r="D19" s="10"/>
      <c r="E19" s="10">
        <f>E16*630</f>
        <v>0</v>
      </c>
      <c r="F19" s="10">
        <f t="shared" ref="F19:J19" si="2">F16*630</f>
        <v>-42.533189999976457</v>
      </c>
      <c r="G19" s="10">
        <f t="shared" si="2"/>
        <v>-29.837430000086442</v>
      </c>
      <c r="H19" s="10">
        <f t="shared" si="2"/>
        <v>42.533189999976457</v>
      </c>
      <c r="I19" s="10">
        <f t="shared" si="2"/>
        <v>12.695759999890015</v>
      </c>
      <c r="J19" s="10">
        <f t="shared" si="2"/>
        <v>29.837430000086442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Individual corrections</vt:lpstr>
      <vt:lpstr>ZPE Corr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Department of Chemistry</cp:lastModifiedBy>
  <dcterms:created xsi:type="dcterms:W3CDTF">2017-03-15T18:54:37Z</dcterms:created>
  <dcterms:modified xsi:type="dcterms:W3CDTF">2017-03-20T16:05:35Z</dcterms:modified>
</cp:coreProperties>
</file>